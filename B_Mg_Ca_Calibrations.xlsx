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.brabson/Desktop/Dissertation_working_draft/AAA_REVISIONS/Chapter_1_Statistics/"/>
    </mc:Choice>
  </mc:AlternateContent>
  <xr:revisionPtr revIDLastSave="0" documentId="8_{87E9938E-F9DC-AF49-A015-56D13FBBA0D1}" xr6:coauthVersionLast="45" xr6:coauthVersionMax="45" xr10:uidLastSave="{00000000-0000-0000-0000-000000000000}"/>
  <bookViews>
    <workbookView xWindow="700" yWindow="3060" windowWidth="28720" windowHeight="13980" xr2:uid="{9083F500-45F8-1146-BF22-5E3CA3508D78}"/>
  </bookViews>
  <sheets>
    <sheet name="NEW" sheetId="1" r:id="rId1"/>
    <sheet name="COMPILATION" sheetId="2" r:id="rId2"/>
    <sheet name="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9" i="1" l="1"/>
  <c r="AC40" i="1"/>
  <c r="AC41" i="1"/>
  <c r="AC35" i="1"/>
  <c r="AC36" i="1"/>
  <c r="AC37" i="1"/>
  <c r="AC38" i="1"/>
  <c r="AC28" i="1"/>
  <c r="AC29" i="1"/>
  <c r="AC30" i="1"/>
  <c r="AC31" i="1"/>
  <c r="AC32" i="1"/>
  <c r="AC33" i="1"/>
  <c r="AC34" i="1"/>
  <c r="AC22" i="1"/>
  <c r="AC23" i="1"/>
  <c r="AC24" i="1"/>
  <c r="AC25" i="1"/>
  <c r="AC26" i="1"/>
  <c r="AC27" i="1"/>
  <c r="AC14" i="1"/>
  <c r="AC15" i="1"/>
  <c r="AC16" i="1"/>
  <c r="AC17" i="1"/>
  <c r="AC18" i="1"/>
  <c r="AC19" i="1"/>
  <c r="AC20" i="1"/>
  <c r="AC21" i="1"/>
  <c r="AC4" i="1"/>
  <c r="AC5" i="1"/>
  <c r="AC6" i="1"/>
  <c r="AC7" i="1"/>
  <c r="AC8" i="1"/>
  <c r="AC9" i="1"/>
  <c r="AC10" i="1"/>
  <c r="AC11" i="1"/>
  <c r="AC12" i="1"/>
  <c r="AC13" i="1"/>
  <c r="AC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3" i="1"/>
  <c r="AD4" i="1" l="1"/>
  <c r="AD5" i="1"/>
  <c r="AD6" i="1"/>
  <c r="AD7" i="1"/>
  <c r="AD8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9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3" i="1"/>
</calcChain>
</file>

<file path=xl/sharedStrings.xml><?xml version="1.0" encoding="utf-8"?>
<sst xmlns="http://schemas.openxmlformats.org/spreadsheetml/2006/main" count="447" uniqueCount="181">
  <si>
    <t>Site</t>
  </si>
  <si>
    <t>Species</t>
  </si>
  <si>
    <t>Latitude</t>
  </si>
  <si>
    <t>Longitude</t>
  </si>
  <si>
    <t>pH</t>
  </si>
  <si>
    <t>Sample ID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</si>
  <si>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</si>
  <si>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</si>
  <si>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</si>
  <si>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</si>
  <si>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</si>
  <si>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</si>
  <si>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</si>
  <si>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</si>
  <si>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</si>
  <si>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</si>
  <si>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</si>
  <si>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</si>
  <si>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</si>
  <si>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</si>
  <si>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</si>
  <si>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</si>
  <si>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</si>
  <si>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</si>
  <si>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</si>
  <si>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</si>
  <si>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</si>
  <si>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</si>
  <si>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</si>
  <si>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</si>
  <si>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</si>
  <si>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</si>
  <si>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</si>
  <si>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</si>
  <si>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</si>
  <si>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</si>
  <si>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</si>
  <si>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</si>
  <si>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</si>
  <si>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</si>
  <si>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</si>
  <si>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</si>
  <si>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</si>
  <si>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</si>
  <si>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</si>
  <si>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12LB</t>
  </si>
  <si>
    <t>Age (Mya)</t>
  </si>
  <si>
    <t>Trilobatus trilobus</t>
  </si>
  <si>
    <t>Globorotalia tumida</t>
  </si>
  <si>
    <t>Sphaeroidinella dehiscens</t>
  </si>
  <si>
    <t>Globorotalia menardii</t>
  </si>
  <si>
    <t>Globorotalia crassaformis</t>
  </si>
  <si>
    <t>2SD on d11B</t>
  </si>
  <si>
    <t>Mg24/Ca</t>
  </si>
  <si>
    <t>14LB</t>
  </si>
  <si>
    <t>top</t>
  </si>
  <si>
    <t>Neogloboquadrina dutertrei</t>
  </si>
  <si>
    <t>Globorotalia truncatulinioides</t>
  </si>
  <si>
    <t>Uvigerina peregrina</t>
  </si>
  <si>
    <t>16LB</t>
  </si>
  <si>
    <t>Planulina wuellerstorfi</t>
  </si>
  <si>
    <t>6LB</t>
  </si>
  <si>
    <t>Globigerinoides ruber</t>
  </si>
  <si>
    <t>Trilobatus sacculifer</t>
  </si>
  <si>
    <t>Globorotalia ungulata</t>
  </si>
  <si>
    <t>Globigerinella siphonifera</t>
  </si>
  <si>
    <t>Pulleniatina obliquiloculata</t>
  </si>
  <si>
    <t>Orbulina universa</t>
  </si>
  <si>
    <t>8LB</t>
  </si>
  <si>
    <t>1LB</t>
  </si>
  <si>
    <t>4LB</t>
  </si>
  <si>
    <t>Label for Boron</t>
  </si>
  <si>
    <t>A</t>
  </si>
  <si>
    <t>1SD on A</t>
  </si>
  <si>
    <t>B</t>
  </si>
  <si>
    <t>1SD on B</t>
  </si>
  <si>
    <t>1SD on Temp</t>
  </si>
  <si>
    <t>Reference</t>
  </si>
  <si>
    <t>Anand et al., 2003</t>
  </si>
  <si>
    <t>Regenberg et al., 2009</t>
  </si>
  <si>
    <t>Lear et al., 2002</t>
  </si>
  <si>
    <t>TEMP_C (Mg/Ca)</t>
  </si>
  <si>
    <t>Guillermic et al., 2020</t>
  </si>
  <si>
    <t>"Deep Dwellers" Guillermic et al., 2020; Foster et al., 2008; Henehan et al., 2016; Raitzsch et al., 2018</t>
  </si>
  <si>
    <t>Guillermic et al., 2020; Foster et al., 2008</t>
  </si>
  <si>
    <t>Henehan et al., 2013</t>
  </si>
  <si>
    <t>Guillermic et al., 2020; Henehan et al., 2016</t>
  </si>
  <si>
    <t>Henehan et al., 2016</t>
  </si>
  <si>
    <t>Rae et al., 2011 (no calibration necessary)</t>
  </si>
  <si>
    <t>Anand et al., 2003 (multi-species)</t>
  </si>
  <si>
    <t>Anand et al., 2003 (deep dweller)</t>
  </si>
  <si>
    <t>Leg</t>
  </si>
  <si>
    <t>Core Details</t>
  </si>
  <si>
    <t>LAT</t>
  </si>
  <si>
    <t>LON</t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</si>
  <si>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13C</t>
    </r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</si>
  <si>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18O</t>
    </r>
  </si>
  <si>
    <t>Mg/Ca</t>
  </si>
  <si>
    <t>Age (ka)</t>
  </si>
  <si>
    <t>Notes</t>
  </si>
  <si>
    <t>U1482A</t>
  </si>
  <si>
    <t>BoscoloGalazzo_et_al., 2021</t>
  </si>
  <si>
    <t>1241C</t>
  </si>
  <si>
    <t>G. sacculifer</t>
  </si>
  <si>
    <t>851E</t>
  </si>
  <si>
    <t>138-851E-6H-4,85-87</t>
  </si>
  <si>
    <t>Cannariato and Ravelo, 1997</t>
  </si>
  <si>
    <t>G. tumida</t>
  </si>
  <si>
    <t>C. wuellerstorfi</t>
  </si>
  <si>
    <t>89-586A-4-5,50-52</t>
  </si>
  <si>
    <t>Whitman and Berger, 1993</t>
  </si>
  <si>
    <t>31-296-11R-3,113-115</t>
  </si>
  <si>
    <t>Matsui et al., 2020</t>
  </si>
  <si>
    <t>851B</t>
  </si>
  <si>
    <t>851B,1H-1,10-15</t>
  </si>
  <si>
    <t>N. dutertrei</t>
  </si>
  <si>
    <t>1209A</t>
  </si>
  <si>
    <t xml:space="preserve">Ford et al., (2022) </t>
  </si>
  <si>
    <t>1209B-6H-1, 95-97</t>
  </si>
  <si>
    <t>1210B</t>
  </si>
  <si>
    <t>1210B-6H-5, 145-147</t>
  </si>
  <si>
    <t>2SD error on pH</t>
  </si>
  <si>
    <t>5H-4, 60-61</t>
  </si>
  <si>
    <t>Steph et al., 2005</t>
  </si>
  <si>
    <t>G. sacculifer (355-425 mm)</t>
  </si>
  <si>
    <t>G. tumida (355-425 mm)</t>
  </si>
  <si>
    <t>C. wuellerstorfi (&gt;250 mm)</t>
  </si>
  <si>
    <t>C. wuellerstorfi and peregrina</t>
  </si>
  <si>
    <t>Mix et al., 2005</t>
  </si>
  <si>
    <t>core depth 996'</t>
  </si>
  <si>
    <t>https://publications.iodp.org/proceedings/350/201/350_201.html</t>
  </si>
  <si>
    <t>350-U1436C-1H-1, 0-2</t>
  </si>
  <si>
    <t>Vautravers et al., 2016</t>
  </si>
  <si>
    <t>Region</t>
  </si>
  <si>
    <t>NW PAC</t>
  </si>
  <si>
    <t>SHATSKY</t>
  </si>
  <si>
    <t>WWP</t>
  </si>
  <si>
    <t>EEP</t>
  </si>
  <si>
    <t>Mix et al., 1995 https://doi.org/10.2973/odp.proc.sr.138.120.1995</t>
  </si>
  <si>
    <t>From compilation at Nederbragt, 2023 (noted use of PDB not VPDB, notes no offset for carbon)</t>
  </si>
  <si>
    <t>Bickert et al., 1993       https://doi.org/10.2973/odp.proc.sr.130.024.1994</t>
  </si>
  <si>
    <t>From compilation at Nederbragt, 2024</t>
  </si>
  <si>
    <t>From compilation at Nederbragt, 2025</t>
  </si>
  <si>
    <t>KT89-18 P4</t>
  </si>
  <si>
    <t>X</t>
  </si>
  <si>
    <t>31-292-4R-2W, 20-21cm</t>
  </si>
  <si>
    <t xml:space="preserve">       d11B       (TPB corrected)</t>
  </si>
  <si>
    <t>water depth (m)</t>
  </si>
  <si>
    <t xml:space="preserve">   d11B_borate       (Species Corrected)</t>
  </si>
  <si>
    <t>1210A</t>
  </si>
  <si>
    <t>198-1210A-1H-1W, 0-4cm</t>
  </si>
  <si>
    <t>198-1210A-6H-6W, 120-121cm</t>
  </si>
  <si>
    <t>363-U1482A-1H-1W, 2-3cm</t>
  </si>
  <si>
    <t>363-U1482A-16H-2W, 110-111cm</t>
  </si>
  <si>
    <t>363-U1490C-1H-1W, 0-1cm</t>
  </si>
  <si>
    <t>U1490C</t>
  </si>
  <si>
    <t>363-U1490C-6H-3W, 23-24 cm</t>
  </si>
  <si>
    <t>Oba and Yasuda 1992 - original - used in Matsumoto et al., 2002     https://doi.org/10.25921/3k1z-3920</t>
  </si>
  <si>
    <t>Water Depth (mbsf)</t>
  </si>
  <si>
    <t>Ford et al., (2022)</t>
  </si>
  <si>
    <t>mPWP</t>
  </si>
  <si>
    <t>synthesis</t>
  </si>
  <si>
    <t>U1490</t>
  </si>
  <si>
    <t>average of 319909 and 3203445</t>
  </si>
  <si>
    <t>Shackleton, 1995 from Ford et al., 2022</t>
  </si>
  <si>
    <r>
      <t xml:space="preserve">Species                                         (300-425 </t>
    </r>
    <r>
      <rPr>
        <b/>
        <sz val="14"/>
        <color theme="1"/>
        <rFont val="Symbol"/>
        <charset val="2"/>
      </rPr>
      <t>m</t>
    </r>
    <r>
      <rPr>
        <b/>
        <sz val="14"/>
        <color theme="1"/>
        <rFont val="Times New Roman"/>
        <family val="1"/>
      </rPr>
      <t>m)</t>
    </r>
  </si>
  <si>
    <t>Sanyal et al., 2000 refit by Martinez-Boti et al., 2015</t>
  </si>
  <si>
    <t>From Shankle et al., 2021</t>
  </si>
  <si>
    <t>Modern</t>
  </si>
  <si>
    <t>25-50m</t>
  </si>
  <si>
    <t>Depth</t>
  </si>
  <si>
    <t>Age</t>
  </si>
  <si>
    <t>pH West (806)</t>
  </si>
  <si>
    <t>ph East (846)</t>
  </si>
  <si>
    <t>3.000 Ma</t>
  </si>
  <si>
    <t>50-100m (O. universa)</t>
  </si>
  <si>
    <t>8.07 ± 0.01</t>
  </si>
  <si>
    <t>8.01 ± 0.06</t>
  </si>
  <si>
    <t>8.03 ± 0.05</t>
  </si>
  <si>
    <t>7.83 ± 0.06</t>
  </si>
  <si>
    <t>Boron and Mg/Ca Calibration details for Brabson et al., 2016 in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</si>
</sst>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sz val="12"/>
      <color rgb="FFC00000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"/>
    </font>
    <font>
      <b/>
      <sz val="11"/>
      <color theme="1"/>
      <name val="Symbol"/>
      <charset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b/>
      <sz val="14"/>
      <color theme="1"/>
      <name val="Symbol"/>
      <charset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2" fontId="1" fillId="0" borderId="1" xfId="0" applyNumberFormat="1" applyFont="1" applyBorder="1"/>
    <xf numFmtId="2" fontId="1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/>
    <xf numFmtId="0" fontId="7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4" xfId="0" applyFont="1" applyFill="1" applyBorder="1"/>
    <xf numFmtId="0" fontId="7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2" fontId="5" fillId="3" borderId="5" xfId="0" applyNumberFormat="1" applyFont="1" applyFill="1" applyBorder="1" applyAlignment="1">
      <alignment vertical="center"/>
    </xf>
    <xf numFmtId="0" fontId="1" fillId="3" borderId="5" xfId="0" applyFont="1" applyFill="1" applyBorder="1"/>
    <xf numFmtId="2" fontId="5" fillId="2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/>
    <xf numFmtId="2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2" fontId="1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2" fontId="13" fillId="0" borderId="0" xfId="0" applyNumberFormat="1" applyFont="1" applyFill="1" applyAlignment="1">
      <alignment horizontal="center" vertical="center"/>
    </xf>
    <xf numFmtId="1" fontId="13" fillId="0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13" fillId="0" borderId="0" xfId="0" quotePrefix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horizontal="center" vertical="center"/>
    </xf>
    <xf numFmtId="0" fontId="16" fillId="0" borderId="0" xfId="0" applyFont="1"/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FE2F-13FB-7F41-819D-34F82B76D00A}">
  <dimension ref="A1:AD42"/>
  <sheetViews>
    <sheetView tabSelected="1" zoomScale="116" zoomScaleNormal="120" workbookViewId="0">
      <pane xSplit="1" topLeftCell="B1" activePane="topRight" state="frozen"/>
      <selection pane="topRight" activeCell="A2" sqref="A2"/>
    </sheetView>
  </sheetViews>
  <sheetFormatPr baseColWidth="10" defaultRowHeight="16" x14ac:dyDescent="0.2"/>
  <cols>
    <col min="1" max="1" width="35.33203125" style="3" customWidth="1"/>
    <col min="2" max="2" width="11.5" style="2" customWidth="1"/>
    <col min="3" max="3" width="14.1640625" style="2" customWidth="1"/>
    <col min="4" max="4" width="14.83203125" style="1" customWidth="1"/>
    <col min="5" max="5" width="42.83203125" style="1" customWidth="1"/>
    <col min="6" max="8" width="14.83203125" style="1" customWidth="1"/>
    <col min="9" max="9" width="17" style="2" customWidth="1"/>
    <col min="10" max="10" width="14.83203125" style="48" customWidth="1"/>
    <col min="11" max="12" width="18.6640625" style="1" customWidth="1"/>
    <col min="13" max="13" width="10.83203125" style="1" customWidth="1"/>
    <col min="14" max="14" width="11.6640625" style="1" customWidth="1"/>
    <col min="15" max="15" width="9.6640625" style="1" customWidth="1"/>
    <col min="16" max="16" width="12.83203125" style="1" customWidth="1"/>
    <col min="17" max="17" width="26" style="27" customWidth="1"/>
    <col min="18" max="18" width="19.5" style="4" customWidth="1"/>
    <col min="19" max="19" width="14.83203125" style="1" customWidth="1"/>
    <col min="20" max="20" width="14.83203125" style="2" customWidth="1"/>
    <col min="21" max="21" width="14.83203125" style="36" customWidth="1"/>
    <col min="22" max="22" width="14.83203125" style="48" customWidth="1"/>
    <col min="23" max="23" width="16.1640625" style="42" customWidth="1"/>
    <col min="24" max="24" width="10" style="11" customWidth="1"/>
    <col min="25" max="25" width="11.6640625" style="11" customWidth="1"/>
    <col min="26" max="26" width="8" style="11" customWidth="1"/>
    <col min="27" max="27" width="10.83203125" style="11" customWidth="1"/>
    <col min="28" max="28" width="28.33203125" style="1" customWidth="1"/>
    <col min="29" max="29" width="16.83203125" style="8" customWidth="1"/>
    <col min="30" max="30" width="14.83203125" style="54" customWidth="1"/>
    <col min="31" max="16384" width="10.83203125" style="2"/>
  </cols>
  <sheetData>
    <row r="1" spans="1:30" s="7" customFormat="1" ht="94" customHeight="1" x14ac:dyDescent="0.25">
      <c r="A1" s="107" t="s">
        <v>180</v>
      </c>
      <c r="C1" s="5"/>
      <c r="D1" s="6"/>
      <c r="E1" s="6"/>
      <c r="F1" s="6"/>
      <c r="G1" s="6"/>
      <c r="H1" s="12"/>
      <c r="J1" s="43"/>
      <c r="K1" s="6"/>
      <c r="L1" s="6"/>
      <c r="M1" s="6"/>
      <c r="N1" s="6"/>
      <c r="O1" s="6"/>
      <c r="P1" s="6"/>
      <c r="Q1" s="24"/>
      <c r="R1" s="9"/>
      <c r="S1" s="6"/>
      <c r="V1" s="43"/>
      <c r="W1" s="6"/>
      <c r="X1" s="10"/>
      <c r="Y1" s="10"/>
      <c r="Z1" s="10"/>
      <c r="AA1" s="10"/>
      <c r="AB1" s="6"/>
      <c r="AC1" s="9"/>
      <c r="AD1" s="9"/>
    </row>
    <row r="2" spans="1:30" s="16" customFormat="1" ht="79" customHeight="1" x14ac:dyDescent="0.2">
      <c r="A2" s="28" t="s">
        <v>165</v>
      </c>
      <c r="B2" s="28" t="s">
        <v>71</v>
      </c>
      <c r="C2" s="29" t="s">
        <v>5</v>
      </c>
      <c r="D2" s="29" t="s">
        <v>0</v>
      </c>
      <c r="E2" s="29" t="s">
        <v>92</v>
      </c>
      <c r="F2" s="29" t="s">
        <v>46</v>
      </c>
      <c r="G2" s="29" t="s">
        <v>2</v>
      </c>
      <c r="H2" s="29" t="s">
        <v>3</v>
      </c>
      <c r="I2" s="28" t="s">
        <v>147</v>
      </c>
      <c r="J2" s="44"/>
      <c r="K2" s="28" t="s">
        <v>146</v>
      </c>
      <c r="L2" s="29" t="s">
        <v>52</v>
      </c>
      <c r="M2" s="30" t="s">
        <v>72</v>
      </c>
      <c r="N2" s="30" t="s">
        <v>73</v>
      </c>
      <c r="O2" s="30" t="s">
        <v>74</v>
      </c>
      <c r="P2" s="30" t="s">
        <v>75</v>
      </c>
      <c r="Q2" s="28" t="s">
        <v>77</v>
      </c>
      <c r="R2" s="31" t="s">
        <v>148</v>
      </c>
      <c r="S2" s="29" t="s">
        <v>52</v>
      </c>
      <c r="T2" s="29" t="s">
        <v>4</v>
      </c>
      <c r="U2" s="59" t="s">
        <v>121</v>
      </c>
      <c r="V2" s="44"/>
      <c r="W2" s="37" t="s">
        <v>53</v>
      </c>
      <c r="X2" s="30" t="s">
        <v>72</v>
      </c>
      <c r="Y2" s="30" t="s">
        <v>73</v>
      </c>
      <c r="Z2" s="30" t="s">
        <v>74</v>
      </c>
      <c r="AA2" s="30" t="s">
        <v>75</v>
      </c>
      <c r="AB2" s="29" t="s">
        <v>77</v>
      </c>
      <c r="AC2" s="31" t="s">
        <v>81</v>
      </c>
      <c r="AD2" s="52" t="s">
        <v>76</v>
      </c>
    </row>
    <row r="3" spans="1:30" s="16" customFormat="1" ht="40" customHeight="1" x14ac:dyDescent="0.2">
      <c r="A3" s="13" t="s">
        <v>47</v>
      </c>
      <c r="B3" s="13" t="s">
        <v>6</v>
      </c>
      <c r="C3" s="13" t="s">
        <v>45</v>
      </c>
      <c r="D3" s="13">
        <v>292</v>
      </c>
      <c r="E3" s="13" t="s">
        <v>145</v>
      </c>
      <c r="F3" s="13">
        <v>3.2</v>
      </c>
      <c r="G3" s="13">
        <v>15.86</v>
      </c>
      <c r="H3" s="13">
        <v>124.65</v>
      </c>
      <c r="I3" s="13">
        <v>2940</v>
      </c>
      <c r="J3" s="45"/>
      <c r="K3" s="13">
        <v>19.07</v>
      </c>
      <c r="L3" s="14">
        <v>0.2</v>
      </c>
      <c r="M3" s="13">
        <v>0.82</v>
      </c>
      <c r="N3" s="13">
        <v>0.22</v>
      </c>
      <c r="O3" s="13">
        <v>3.94</v>
      </c>
      <c r="P3" s="13">
        <v>4.0199999999999996</v>
      </c>
      <c r="Q3" s="23" t="s">
        <v>166</v>
      </c>
      <c r="R3" s="14">
        <f>(K3-O3)/M3</f>
        <v>18.451219512195124</v>
      </c>
      <c r="S3" s="14">
        <v>0.2</v>
      </c>
      <c r="T3" s="13">
        <v>8.07</v>
      </c>
      <c r="U3" s="35">
        <v>0.04</v>
      </c>
      <c r="V3" s="45"/>
      <c r="W3" s="38">
        <v>3.43</v>
      </c>
      <c r="X3" s="15">
        <v>0.09</v>
      </c>
      <c r="Y3" s="15">
        <v>0</v>
      </c>
      <c r="Z3" s="15">
        <v>0.34699999999999998</v>
      </c>
      <c r="AA3" s="15">
        <v>1.0999999999999999E-2</v>
      </c>
      <c r="AB3" s="14" t="s">
        <v>78</v>
      </c>
      <c r="AC3" s="14">
        <f>(LN(W3/Z3))/X3</f>
        <v>25.455452891256961</v>
      </c>
      <c r="AD3" s="53">
        <f>((((AC3^2)/(X3)^2)*Y3^2)+((1/(X3^2)*(Z3^2))*AA3^2))^0.5</f>
        <v>4.2411111111111108E-2</v>
      </c>
    </row>
    <row r="4" spans="1:30" s="16" customFormat="1" ht="40" customHeight="1" x14ac:dyDescent="0.2">
      <c r="A4" s="13" t="s">
        <v>48</v>
      </c>
      <c r="B4" s="13" t="s">
        <v>7</v>
      </c>
      <c r="C4" s="13" t="s">
        <v>45</v>
      </c>
      <c r="D4" s="13">
        <v>292</v>
      </c>
      <c r="E4" s="13" t="s">
        <v>145</v>
      </c>
      <c r="F4" s="13">
        <v>3.2</v>
      </c>
      <c r="G4" s="13">
        <v>15.86</v>
      </c>
      <c r="H4" s="13">
        <v>124.65</v>
      </c>
      <c r="I4" s="13">
        <v>2940</v>
      </c>
      <c r="J4" s="46"/>
      <c r="K4" s="13">
        <v>16.47</v>
      </c>
      <c r="L4" s="14">
        <v>0.08</v>
      </c>
      <c r="M4" s="13">
        <v>0.56999999999999995</v>
      </c>
      <c r="N4" s="13">
        <v>1.2</v>
      </c>
      <c r="O4" s="13">
        <v>6.33</v>
      </c>
      <c r="P4" s="13">
        <v>2.52</v>
      </c>
      <c r="Q4" s="23" t="s">
        <v>82</v>
      </c>
      <c r="R4" s="14">
        <f t="shared" ref="R4:R41" si="0">(K4-O4)/M4</f>
        <v>17.789473684210527</v>
      </c>
      <c r="S4" s="14">
        <v>0.08</v>
      </c>
      <c r="T4" s="13">
        <v>8.07</v>
      </c>
      <c r="U4" s="35">
        <v>0.02</v>
      </c>
      <c r="V4" s="46"/>
      <c r="W4" s="38">
        <v>2.34</v>
      </c>
      <c r="X4" s="15">
        <v>0.09</v>
      </c>
      <c r="Y4" s="15">
        <v>0</v>
      </c>
      <c r="Z4" s="15">
        <v>0.38</v>
      </c>
      <c r="AA4" s="15">
        <v>0</v>
      </c>
      <c r="AB4" s="14" t="s">
        <v>78</v>
      </c>
      <c r="AC4" s="14">
        <f t="shared" ref="AC4:AC41" si="1">(LN(W4/Z4))/X4</f>
        <v>20.197055062570175</v>
      </c>
      <c r="AD4" s="53">
        <f t="shared" ref="AD4:AD41" si="2">((((AC4^2)/(X4)^2)*Y4^2)+((1/(X4^2)*(Z4^2))*AA4^2))^0.5</f>
        <v>0</v>
      </c>
    </row>
    <row r="5" spans="1:30" s="16" customFormat="1" ht="40" customHeight="1" x14ac:dyDescent="0.2">
      <c r="A5" s="13" t="s">
        <v>49</v>
      </c>
      <c r="B5" s="13" t="s">
        <v>8</v>
      </c>
      <c r="C5" s="13" t="s">
        <v>45</v>
      </c>
      <c r="D5" s="13">
        <v>292</v>
      </c>
      <c r="E5" s="13" t="s">
        <v>145</v>
      </c>
      <c r="F5" s="13">
        <v>3.2</v>
      </c>
      <c r="G5" s="13">
        <v>15.86</v>
      </c>
      <c r="H5" s="13">
        <v>124.65</v>
      </c>
      <c r="I5" s="13">
        <v>2940</v>
      </c>
      <c r="J5" s="46"/>
      <c r="K5" s="13">
        <v>18.489999999999998</v>
      </c>
      <c r="L5" s="14">
        <v>0.24</v>
      </c>
      <c r="M5" s="13">
        <v>0.95</v>
      </c>
      <c r="N5" s="13">
        <v>0.13</v>
      </c>
      <c r="O5" s="13">
        <v>0.18</v>
      </c>
      <c r="P5" s="13">
        <v>0.6</v>
      </c>
      <c r="Q5" s="23" t="s">
        <v>83</v>
      </c>
      <c r="R5" s="14">
        <f t="shared" si="0"/>
        <v>19.273684210526316</v>
      </c>
      <c r="S5" s="14">
        <v>0.24</v>
      </c>
      <c r="T5" s="13">
        <v>8.23</v>
      </c>
      <c r="U5" s="35">
        <v>0.04</v>
      </c>
      <c r="V5" s="46"/>
      <c r="W5" s="38">
        <v>1.9</v>
      </c>
      <c r="X5" s="15">
        <v>0.09</v>
      </c>
      <c r="Y5" s="15">
        <v>0</v>
      </c>
      <c r="Z5" s="15">
        <v>0.38</v>
      </c>
      <c r="AA5" s="15">
        <v>0</v>
      </c>
      <c r="AB5" s="50" t="s">
        <v>89</v>
      </c>
      <c r="AC5" s="14">
        <f t="shared" si="1"/>
        <v>17.882643471490002</v>
      </c>
      <c r="AD5" s="53">
        <f t="shared" si="2"/>
        <v>0</v>
      </c>
    </row>
    <row r="6" spans="1:30" s="16" customFormat="1" ht="40" customHeight="1" x14ac:dyDescent="0.2">
      <c r="A6" s="13" t="s">
        <v>50</v>
      </c>
      <c r="B6" s="13" t="s">
        <v>9</v>
      </c>
      <c r="C6" s="13" t="s">
        <v>45</v>
      </c>
      <c r="D6" s="13">
        <v>292</v>
      </c>
      <c r="E6" s="13" t="s">
        <v>145</v>
      </c>
      <c r="F6" s="13">
        <v>3.2</v>
      </c>
      <c r="G6" s="13">
        <v>15.86</v>
      </c>
      <c r="H6" s="13">
        <v>124.65</v>
      </c>
      <c r="I6" s="13">
        <v>2940</v>
      </c>
      <c r="J6" s="46"/>
      <c r="K6" s="13">
        <v>16.690000000000001</v>
      </c>
      <c r="L6" s="14">
        <v>0.19</v>
      </c>
      <c r="M6" s="13">
        <v>0.65</v>
      </c>
      <c r="N6" s="13">
        <v>0.76</v>
      </c>
      <c r="O6" s="13">
        <v>5.36</v>
      </c>
      <c r="P6" s="13">
        <v>1.36</v>
      </c>
      <c r="Q6" s="23" t="s">
        <v>82</v>
      </c>
      <c r="R6" s="14">
        <f t="shared" si="0"/>
        <v>17.430769230769233</v>
      </c>
      <c r="S6" s="14">
        <v>0.19</v>
      </c>
      <c r="T6" s="13">
        <v>8.01</v>
      </c>
      <c r="U6" s="35">
        <v>0.04</v>
      </c>
      <c r="V6" s="46"/>
      <c r="W6" s="38">
        <v>2.74</v>
      </c>
      <c r="X6" s="15">
        <v>9.0999999999999998E-2</v>
      </c>
      <c r="Y6" s="15">
        <v>0</v>
      </c>
      <c r="Z6" s="15">
        <v>0.36</v>
      </c>
      <c r="AA6" s="15">
        <v>0</v>
      </c>
      <c r="AB6" s="14" t="s">
        <v>79</v>
      </c>
      <c r="AC6" s="14">
        <f t="shared" si="1"/>
        <v>22.303397449801761</v>
      </c>
      <c r="AD6" s="53">
        <f t="shared" si="2"/>
        <v>0</v>
      </c>
    </row>
    <row r="7" spans="1:30" s="16" customFormat="1" ht="40" customHeight="1" x14ac:dyDescent="0.2">
      <c r="A7" s="13" t="s">
        <v>51</v>
      </c>
      <c r="B7" s="13" t="s">
        <v>10</v>
      </c>
      <c r="C7" s="13" t="s">
        <v>45</v>
      </c>
      <c r="D7" s="13">
        <v>292</v>
      </c>
      <c r="E7" s="13" t="s">
        <v>145</v>
      </c>
      <c r="F7" s="13">
        <v>3.2</v>
      </c>
      <c r="G7" s="13">
        <v>15.86</v>
      </c>
      <c r="H7" s="13">
        <v>124.65</v>
      </c>
      <c r="I7" s="13">
        <v>2940</v>
      </c>
      <c r="J7" s="46"/>
      <c r="K7" s="13">
        <v>14.53</v>
      </c>
      <c r="L7" s="14">
        <v>0.16</v>
      </c>
      <c r="M7" s="13">
        <v>0.95</v>
      </c>
      <c r="N7" s="13">
        <v>0.13</v>
      </c>
      <c r="O7" s="13">
        <v>0.18</v>
      </c>
      <c r="P7" s="13">
        <v>0.6</v>
      </c>
      <c r="Q7" s="23" t="s">
        <v>83</v>
      </c>
      <c r="R7" s="14">
        <f t="shared" si="0"/>
        <v>15.105263157894738</v>
      </c>
      <c r="S7" s="14">
        <v>0.16</v>
      </c>
      <c r="T7" s="13">
        <v>7.76</v>
      </c>
      <c r="U7" s="35">
        <v>0.05</v>
      </c>
      <c r="V7" s="46"/>
      <c r="W7" s="38">
        <v>1.9</v>
      </c>
      <c r="X7" s="15">
        <v>0.09</v>
      </c>
      <c r="Y7" s="15">
        <v>0</v>
      </c>
      <c r="Z7" s="15">
        <v>0.33900000000000002</v>
      </c>
      <c r="AA7" s="15">
        <v>2.9000000000000001E-2</v>
      </c>
      <c r="AB7" s="14" t="s">
        <v>78</v>
      </c>
      <c r="AC7" s="14">
        <f t="shared" si="1"/>
        <v>19.151211753045349</v>
      </c>
      <c r="AD7" s="53">
        <f t="shared" si="2"/>
        <v>0.10923333333333335</v>
      </c>
    </row>
    <row r="8" spans="1:30" s="17" customFormat="1" ht="40" customHeight="1" x14ac:dyDescent="0.2">
      <c r="A8" s="18" t="s">
        <v>56</v>
      </c>
      <c r="B8" s="18" t="s">
        <v>11</v>
      </c>
      <c r="C8" s="18" t="s">
        <v>54</v>
      </c>
      <c r="D8" s="18" t="s">
        <v>149</v>
      </c>
      <c r="E8" s="18" t="s">
        <v>150</v>
      </c>
      <c r="F8" s="18" t="s">
        <v>55</v>
      </c>
      <c r="G8" s="18">
        <v>32.22</v>
      </c>
      <c r="H8" s="18">
        <v>158.25</v>
      </c>
      <c r="I8" s="18">
        <v>2573</v>
      </c>
      <c r="J8" s="46"/>
      <c r="K8" s="18">
        <v>16.010000000000002</v>
      </c>
      <c r="L8" s="19">
        <v>0.23</v>
      </c>
      <c r="M8" s="18">
        <v>0.72</v>
      </c>
      <c r="N8" s="18">
        <v>0.74</v>
      </c>
      <c r="O8" s="18">
        <v>3.88</v>
      </c>
      <c r="P8" s="18">
        <v>0.65</v>
      </c>
      <c r="Q8" s="25" t="s">
        <v>84</v>
      </c>
      <c r="R8" s="19">
        <f t="shared" si="0"/>
        <v>16.847222222222225</v>
      </c>
      <c r="S8" s="19">
        <v>0.23</v>
      </c>
      <c r="T8" s="18">
        <v>8.0500000000000007</v>
      </c>
      <c r="U8" s="56">
        <v>0.05</v>
      </c>
      <c r="V8" s="46"/>
      <c r="W8" s="39">
        <v>1.24</v>
      </c>
      <c r="X8" s="20">
        <v>0.09</v>
      </c>
      <c r="Y8" s="20">
        <v>0</v>
      </c>
      <c r="Z8" s="20">
        <v>0.34200000000000003</v>
      </c>
      <c r="AA8" s="20">
        <v>1.2E-2</v>
      </c>
      <c r="AB8" s="19" t="s">
        <v>78</v>
      </c>
      <c r="AC8" s="19">
        <f t="shared" si="1"/>
        <v>14.311732461516415</v>
      </c>
      <c r="AD8" s="55">
        <f t="shared" si="2"/>
        <v>4.5600000000000009E-2</v>
      </c>
    </row>
    <row r="9" spans="1:30" s="17" customFormat="1" ht="40" customHeight="1" x14ac:dyDescent="0.2">
      <c r="A9" s="18" t="s">
        <v>51</v>
      </c>
      <c r="B9" s="18" t="s">
        <v>12</v>
      </c>
      <c r="C9" s="18" t="s">
        <v>54</v>
      </c>
      <c r="D9" s="18" t="s">
        <v>149</v>
      </c>
      <c r="E9" s="18" t="s">
        <v>150</v>
      </c>
      <c r="F9" s="18" t="s">
        <v>55</v>
      </c>
      <c r="G9" s="18">
        <v>32.22</v>
      </c>
      <c r="H9" s="18">
        <v>158.25</v>
      </c>
      <c r="I9" s="18">
        <v>2573</v>
      </c>
      <c r="J9" s="46"/>
      <c r="K9" s="18">
        <v>16.29</v>
      </c>
      <c r="L9" s="19">
        <v>0.28000000000000003</v>
      </c>
      <c r="M9" s="18">
        <v>0.95</v>
      </c>
      <c r="N9" s="18">
        <v>0.13</v>
      </c>
      <c r="O9" s="18">
        <v>0.18</v>
      </c>
      <c r="P9" s="18">
        <v>0.6</v>
      </c>
      <c r="Q9" s="25" t="s">
        <v>83</v>
      </c>
      <c r="R9" s="19">
        <f t="shared" si="0"/>
        <v>16.957894736842107</v>
      </c>
      <c r="S9" s="19">
        <v>0.28000000000000003</v>
      </c>
      <c r="T9" s="18">
        <v>8.07</v>
      </c>
      <c r="U9" s="56">
        <v>0.06</v>
      </c>
      <c r="V9" s="46"/>
      <c r="W9" s="39">
        <v>1.1299999999999999</v>
      </c>
      <c r="X9" s="20">
        <v>0.09</v>
      </c>
      <c r="Y9" s="20">
        <v>0</v>
      </c>
      <c r="Z9" s="20">
        <v>0.33900000000000002</v>
      </c>
      <c r="AA9" s="20">
        <v>2.9000000000000001E-2</v>
      </c>
      <c r="AB9" s="19" t="s">
        <v>78</v>
      </c>
      <c r="AC9" s="19">
        <f t="shared" si="1"/>
        <v>13.377475603621509</v>
      </c>
      <c r="AD9" s="55">
        <f t="shared" si="2"/>
        <v>0.10923333333333335</v>
      </c>
    </row>
    <row r="10" spans="1:30" s="17" customFormat="1" ht="40" customHeight="1" x14ac:dyDescent="0.2">
      <c r="A10" s="18" t="s">
        <v>57</v>
      </c>
      <c r="B10" s="18" t="s">
        <v>13</v>
      </c>
      <c r="C10" s="18" t="s">
        <v>54</v>
      </c>
      <c r="D10" s="18" t="s">
        <v>149</v>
      </c>
      <c r="E10" s="18" t="s">
        <v>150</v>
      </c>
      <c r="F10" s="18" t="s">
        <v>55</v>
      </c>
      <c r="G10" s="18">
        <v>32.22</v>
      </c>
      <c r="H10" s="18">
        <v>158.25</v>
      </c>
      <c r="I10" s="18">
        <v>2573</v>
      </c>
      <c r="J10" s="46"/>
      <c r="K10" s="18">
        <v>15.91</v>
      </c>
      <c r="L10" s="19">
        <v>0.05</v>
      </c>
      <c r="M10" s="18">
        <v>0.95</v>
      </c>
      <c r="N10" s="18">
        <v>0.13</v>
      </c>
      <c r="O10" s="18">
        <v>0.18</v>
      </c>
      <c r="P10" s="18">
        <v>0.6</v>
      </c>
      <c r="Q10" s="25" t="s">
        <v>83</v>
      </c>
      <c r="R10" s="19">
        <f t="shared" si="0"/>
        <v>16.557894736842105</v>
      </c>
      <c r="S10" s="19">
        <v>0.05</v>
      </c>
      <c r="T10" s="18">
        <v>8.0299999999999994</v>
      </c>
      <c r="U10" s="56">
        <v>0.01</v>
      </c>
      <c r="V10" s="46"/>
      <c r="W10" s="39">
        <v>1.1599999999999999</v>
      </c>
      <c r="X10" s="20">
        <v>0.09</v>
      </c>
      <c r="Y10" s="20">
        <v>0</v>
      </c>
      <c r="Z10" s="20">
        <v>0.35899999999999999</v>
      </c>
      <c r="AA10" s="20">
        <v>8.0000000000000002E-3</v>
      </c>
      <c r="AB10" s="19" t="s">
        <v>78</v>
      </c>
      <c r="AC10" s="19">
        <f t="shared" si="1"/>
        <v>13.031698840134796</v>
      </c>
      <c r="AD10" s="55">
        <f t="shared" si="2"/>
        <v>3.1911111111111112E-2</v>
      </c>
    </row>
    <row r="11" spans="1:30" s="17" customFormat="1" ht="40" customHeight="1" x14ac:dyDescent="0.2">
      <c r="A11" s="18" t="s">
        <v>58</v>
      </c>
      <c r="B11" s="18" t="s">
        <v>14</v>
      </c>
      <c r="C11" s="18" t="s">
        <v>54</v>
      </c>
      <c r="D11" s="18" t="s">
        <v>149</v>
      </c>
      <c r="E11" s="18" t="s">
        <v>150</v>
      </c>
      <c r="F11" s="18" t="s">
        <v>55</v>
      </c>
      <c r="G11" s="18">
        <v>32.22</v>
      </c>
      <c r="H11" s="18">
        <v>158.25</v>
      </c>
      <c r="I11" s="18">
        <v>2573</v>
      </c>
      <c r="J11" s="46"/>
      <c r="K11" s="18">
        <v>13.06</v>
      </c>
      <c r="L11" s="19">
        <v>0.25</v>
      </c>
      <c r="M11" s="18">
        <v>1</v>
      </c>
      <c r="N11" s="18">
        <v>0</v>
      </c>
      <c r="O11" s="18">
        <v>0</v>
      </c>
      <c r="P11" s="18">
        <v>0</v>
      </c>
      <c r="Q11" s="25" t="s">
        <v>88</v>
      </c>
      <c r="R11" s="19">
        <f t="shared" si="0"/>
        <v>13.06</v>
      </c>
      <c r="S11" s="19">
        <v>0.25</v>
      </c>
      <c r="T11" s="18">
        <v>7.43</v>
      </c>
      <c r="U11" s="56">
        <v>0.19</v>
      </c>
      <c r="V11" s="46"/>
      <c r="W11" s="39">
        <v>1.0900000000000001</v>
      </c>
      <c r="X11" s="20">
        <v>6.0999999999999999E-2</v>
      </c>
      <c r="Y11" s="20">
        <v>0</v>
      </c>
      <c r="Z11" s="20">
        <v>0.92400000000000004</v>
      </c>
      <c r="AA11" s="20">
        <v>0</v>
      </c>
      <c r="AB11" s="19" t="s">
        <v>80</v>
      </c>
      <c r="AC11" s="19">
        <f t="shared" si="1"/>
        <v>2.7085394029754952</v>
      </c>
      <c r="AD11" s="55">
        <f t="shared" si="2"/>
        <v>0</v>
      </c>
    </row>
    <row r="12" spans="1:30" s="16" customFormat="1" ht="40" customHeight="1" x14ac:dyDescent="0.2">
      <c r="A12" s="13" t="s">
        <v>51</v>
      </c>
      <c r="B12" s="13" t="s">
        <v>15</v>
      </c>
      <c r="C12" s="13" t="s">
        <v>59</v>
      </c>
      <c r="D12" s="32" t="s">
        <v>149</v>
      </c>
      <c r="E12" s="13" t="s">
        <v>151</v>
      </c>
      <c r="F12" s="13">
        <v>3.2</v>
      </c>
      <c r="G12" s="13">
        <v>32.22</v>
      </c>
      <c r="H12" s="13">
        <v>158.25</v>
      </c>
      <c r="I12" s="13">
        <v>2573</v>
      </c>
      <c r="J12" s="46"/>
      <c r="K12" s="13">
        <v>14.76</v>
      </c>
      <c r="L12" s="14">
        <v>0.19</v>
      </c>
      <c r="M12" s="13">
        <v>0.95</v>
      </c>
      <c r="N12" s="13">
        <v>0.13</v>
      </c>
      <c r="O12" s="13">
        <v>0.18</v>
      </c>
      <c r="P12" s="13">
        <v>0.6</v>
      </c>
      <c r="Q12" s="23" t="s">
        <v>83</v>
      </c>
      <c r="R12" s="14">
        <f t="shared" si="0"/>
        <v>15.347368421052632</v>
      </c>
      <c r="S12" s="14">
        <v>0.19</v>
      </c>
      <c r="T12" s="13">
        <v>7.89</v>
      </c>
      <c r="U12" s="35">
        <v>0.06</v>
      </c>
      <c r="V12" s="46"/>
      <c r="W12" s="38">
        <v>0.99</v>
      </c>
      <c r="X12" s="15">
        <v>0.09</v>
      </c>
      <c r="Y12" s="15">
        <v>0</v>
      </c>
      <c r="Z12" s="15">
        <v>0.33900000000000002</v>
      </c>
      <c r="AA12" s="15">
        <v>2.9000000000000001E-2</v>
      </c>
      <c r="AB12" s="14" t="s">
        <v>78</v>
      </c>
      <c r="AC12" s="14">
        <f t="shared" si="1"/>
        <v>11.907831508313171</v>
      </c>
      <c r="AD12" s="53">
        <f t="shared" si="2"/>
        <v>0.10923333333333335</v>
      </c>
    </row>
    <row r="13" spans="1:30" s="16" customFormat="1" ht="40" customHeight="1" x14ac:dyDescent="0.2">
      <c r="A13" s="13" t="s">
        <v>60</v>
      </c>
      <c r="B13" s="13" t="s">
        <v>16</v>
      </c>
      <c r="C13" s="13" t="s">
        <v>59</v>
      </c>
      <c r="D13" s="32" t="s">
        <v>149</v>
      </c>
      <c r="E13" s="13" t="s">
        <v>151</v>
      </c>
      <c r="F13" s="13">
        <v>3.2</v>
      </c>
      <c r="G13" s="13">
        <v>32.22</v>
      </c>
      <c r="H13" s="13">
        <v>158.25</v>
      </c>
      <c r="I13" s="13">
        <v>2573</v>
      </c>
      <c r="J13" s="46"/>
      <c r="K13" s="13">
        <v>13.63</v>
      </c>
      <c r="L13" s="14">
        <v>0.21</v>
      </c>
      <c r="M13" s="13">
        <v>1</v>
      </c>
      <c r="N13" s="13">
        <v>0</v>
      </c>
      <c r="O13" s="13">
        <v>0</v>
      </c>
      <c r="P13" s="13">
        <v>0</v>
      </c>
      <c r="Q13" s="23" t="s">
        <v>88</v>
      </c>
      <c r="R13" s="14">
        <f t="shared" si="0"/>
        <v>13.63</v>
      </c>
      <c r="S13" s="14">
        <v>0.21</v>
      </c>
      <c r="T13" s="13">
        <v>7.65</v>
      </c>
      <c r="U13" s="35">
        <v>0.12</v>
      </c>
      <c r="V13" s="46"/>
      <c r="W13" s="38">
        <v>1.17</v>
      </c>
      <c r="X13" s="15">
        <v>0.109</v>
      </c>
      <c r="Y13" s="15">
        <v>7.0000000000000001E-3</v>
      </c>
      <c r="Z13" s="15">
        <v>0.86699999999999999</v>
      </c>
      <c r="AA13" s="15">
        <v>4.9000000000000002E-2</v>
      </c>
      <c r="AB13" s="14" t="s">
        <v>80</v>
      </c>
      <c r="AC13" s="14">
        <f t="shared" si="1"/>
        <v>2.7497252386354125</v>
      </c>
      <c r="AD13" s="53">
        <f t="shared" si="2"/>
        <v>0.42789031587933601</v>
      </c>
    </row>
    <row r="14" spans="1:30" s="17" customFormat="1" ht="40" customHeight="1" x14ac:dyDescent="0.2">
      <c r="A14" s="18" t="s">
        <v>63</v>
      </c>
      <c r="B14" s="18" t="s">
        <v>17</v>
      </c>
      <c r="C14" s="18" t="s">
        <v>61</v>
      </c>
      <c r="D14" s="18" t="s">
        <v>100</v>
      </c>
      <c r="E14" s="18" t="s">
        <v>152</v>
      </c>
      <c r="F14" s="18" t="s">
        <v>55</v>
      </c>
      <c r="G14" s="18">
        <v>-15.12</v>
      </c>
      <c r="H14" s="18">
        <v>120.35</v>
      </c>
      <c r="I14" s="18">
        <v>1468</v>
      </c>
      <c r="J14" s="47"/>
      <c r="K14" s="19">
        <v>19.2</v>
      </c>
      <c r="L14" s="19">
        <v>0.23</v>
      </c>
      <c r="M14" s="18">
        <v>0.82</v>
      </c>
      <c r="N14" s="18">
        <v>0.22</v>
      </c>
      <c r="O14" s="18">
        <v>3.94</v>
      </c>
      <c r="P14" s="18">
        <v>4.0199999999999996</v>
      </c>
      <c r="Q14" s="25" t="s">
        <v>166</v>
      </c>
      <c r="R14" s="19">
        <f t="shared" si="0"/>
        <v>18.609756097560975</v>
      </c>
      <c r="S14" s="19">
        <v>0.23</v>
      </c>
      <c r="T14" s="19">
        <v>8.07</v>
      </c>
      <c r="U14" s="55">
        <v>0.04</v>
      </c>
      <c r="V14" s="47"/>
      <c r="W14" s="39">
        <v>3.84</v>
      </c>
      <c r="X14" s="20">
        <v>0.09</v>
      </c>
      <c r="Y14" s="20">
        <v>0</v>
      </c>
      <c r="Z14" s="20">
        <v>0.34699999999999998</v>
      </c>
      <c r="AA14" s="20">
        <v>1.0999999999999999E-2</v>
      </c>
      <c r="AB14" s="19" t="s">
        <v>78</v>
      </c>
      <c r="AC14" s="19">
        <f>(LN(W14/Z14))/X14</f>
        <v>26.710031840387931</v>
      </c>
      <c r="AD14" s="55">
        <f t="shared" si="2"/>
        <v>4.2411111111111108E-2</v>
      </c>
    </row>
    <row r="15" spans="1:30" s="17" customFormat="1" ht="40" customHeight="1" x14ac:dyDescent="0.2">
      <c r="A15" s="18" t="s">
        <v>62</v>
      </c>
      <c r="B15" s="18" t="s">
        <v>18</v>
      </c>
      <c r="C15" s="18" t="s">
        <v>61</v>
      </c>
      <c r="D15" s="18" t="s">
        <v>100</v>
      </c>
      <c r="E15" s="18" t="s">
        <v>152</v>
      </c>
      <c r="F15" s="18" t="s">
        <v>55</v>
      </c>
      <c r="G15" s="18">
        <v>-15.12</v>
      </c>
      <c r="H15" s="18">
        <v>120.35</v>
      </c>
      <c r="I15" s="18">
        <v>1468</v>
      </c>
      <c r="J15" s="47"/>
      <c r="K15" s="19">
        <v>20.12</v>
      </c>
      <c r="L15" s="19">
        <v>0.16</v>
      </c>
      <c r="M15" s="19">
        <v>0.6</v>
      </c>
      <c r="N15" s="19">
        <v>0.11</v>
      </c>
      <c r="O15" s="19">
        <v>9.52</v>
      </c>
      <c r="P15" s="19">
        <v>2.02</v>
      </c>
      <c r="Q15" s="26" t="s">
        <v>85</v>
      </c>
      <c r="R15" s="19">
        <f t="shared" si="0"/>
        <v>17.666666666666671</v>
      </c>
      <c r="S15" s="19">
        <v>0.16</v>
      </c>
      <c r="T15" s="19">
        <v>7.98</v>
      </c>
      <c r="U15" s="55">
        <v>0.03</v>
      </c>
      <c r="V15" s="47"/>
      <c r="W15" s="39">
        <v>4.96</v>
      </c>
      <c r="X15" s="20">
        <v>8.5000000000000006E-2</v>
      </c>
      <c r="Y15" s="20">
        <v>6.0000000000000001E-3</v>
      </c>
      <c r="Z15" s="20">
        <v>0.48</v>
      </c>
      <c r="AA15" s="20">
        <v>7.0000000000000007E-2</v>
      </c>
      <c r="AB15" s="19" t="s">
        <v>78</v>
      </c>
      <c r="AC15" s="19">
        <f t="shared" si="1"/>
        <v>27.474999009612194</v>
      </c>
      <c r="AD15" s="55">
        <f t="shared" si="2"/>
        <v>1.9792865283627987</v>
      </c>
    </row>
    <row r="16" spans="1:30" s="17" customFormat="1" ht="40" customHeight="1" x14ac:dyDescent="0.2">
      <c r="A16" s="18" t="s">
        <v>47</v>
      </c>
      <c r="B16" s="18" t="s">
        <v>19</v>
      </c>
      <c r="C16" s="18" t="s">
        <v>61</v>
      </c>
      <c r="D16" s="18" t="s">
        <v>100</v>
      </c>
      <c r="E16" s="18" t="s">
        <v>152</v>
      </c>
      <c r="F16" s="18" t="s">
        <v>55</v>
      </c>
      <c r="G16" s="18">
        <v>-15.12</v>
      </c>
      <c r="H16" s="18">
        <v>120.35</v>
      </c>
      <c r="I16" s="18">
        <v>1468</v>
      </c>
      <c r="J16" s="47"/>
      <c r="K16" s="19">
        <v>19.78</v>
      </c>
      <c r="L16" s="19">
        <v>0.11</v>
      </c>
      <c r="M16" s="18">
        <v>0.82</v>
      </c>
      <c r="N16" s="18">
        <v>0.22</v>
      </c>
      <c r="O16" s="18">
        <v>3.94</v>
      </c>
      <c r="P16" s="18">
        <v>4.0199999999999996</v>
      </c>
      <c r="Q16" s="25" t="s">
        <v>166</v>
      </c>
      <c r="R16" s="19">
        <f t="shared" si="0"/>
        <v>19.31707317073171</v>
      </c>
      <c r="S16" s="19">
        <v>0.11</v>
      </c>
      <c r="T16" s="19">
        <v>8.1300000000000008</v>
      </c>
      <c r="U16" s="55">
        <v>0.02</v>
      </c>
      <c r="V16" s="47"/>
      <c r="W16" s="39">
        <v>3.91</v>
      </c>
      <c r="X16" s="20">
        <v>0.09</v>
      </c>
      <c r="Y16" s="20">
        <v>0</v>
      </c>
      <c r="Z16" s="20">
        <v>0.34699999999999998</v>
      </c>
      <c r="AA16" s="20">
        <v>1.0999999999999999E-2</v>
      </c>
      <c r="AB16" s="19" t="s">
        <v>78</v>
      </c>
      <c r="AC16" s="19">
        <f t="shared" si="1"/>
        <v>26.910754144806141</v>
      </c>
      <c r="AD16" s="55">
        <f t="shared" si="2"/>
        <v>4.2411111111111108E-2</v>
      </c>
    </row>
    <row r="17" spans="1:30" s="17" customFormat="1" ht="40" customHeight="1" x14ac:dyDescent="0.2">
      <c r="A17" s="18" t="s">
        <v>48</v>
      </c>
      <c r="B17" s="18" t="s">
        <v>20</v>
      </c>
      <c r="C17" s="18" t="s">
        <v>61</v>
      </c>
      <c r="D17" s="18" t="s">
        <v>100</v>
      </c>
      <c r="E17" s="18" t="s">
        <v>152</v>
      </c>
      <c r="F17" s="18" t="s">
        <v>55</v>
      </c>
      <c r="G17" s="18">
        <v>-15.12</v>
      </c>
      <c r="H17" s="18">
        <v>120.35</v>
      </c>
      <c r="I17" s="18">
        <v>1468</v>
      </c>
      <c r="J17" s="47"/>
      <c r="K17" s="19">
        <v>16.37</v>
      </c>
      <c r="L17" s="19">
        <v>0.18</v>
      </c>
      <c r="M17" s="18">
        <v>0.56999999999999995</v>
      </c>
      <c r="N17" s="18">
        <v>1.2</v>
      </c>
      <c r="O17" s="18">
        <v>6.33</v>
      </c>
      <c r="P17" s="18">
        <v>2.52</v>
      </c>
      <c r="Q17" s="25" t="s">
        <v>82</v>
      </c>
      <c r="R17" s="19">
        <f t="shared" si="0"/>
        <v>17.614035087719301</v>
      </c>
      <c r="S17" s="19">
        <v>0.18</v>
      </c>
      <c r="T17" s="19">
        <v>8.0500000000000007</v>
      </c>
      <c r="U17" s="55">
        <v>0.04</v>
      </c>
      <c r="V17" s="47"/>
      <c r="W17" s="39">
        <v>2.37</v>
      </c>
      <c r="X17" s="20">
        <v>0.09</v>
      </c>
      <c r="Y17" s="20">
        <v>0</v>
      </c>
      <c r="Z17" s="20">
        <v>0.38</v>
      </c>
      <c r="AA17" s="20">
        <v>0</v>
      </c>
      <c r="AB17" s="19" t="s">
        <v>78</v>
      </c>
      <c r="AC17" s="19">
        <f t="shared" si="1"/>
        <v>20.338599793430504</v>
      </c>
      <c r="AD17" s="55">
        <f t="shared" si="2"/>
        <v>0</v>
      </c>
    </row>
    <row r="18" spans="1:30" s="17" customFormat="1" ht="40" customHeight="1" x14ac:dyDescent="0.2">
      <c r="A18" s="18" t="s">
        <v>64</v>
      </c>
      <c r="B18" s="18" t="s">
        <v>21</v>
      </c>
      <c r="C18" s="18" t="s">
        <v>61</v>
      </c>
      <c r="D18" s="18" t="s">
        <v>100</v>
      </c>
      <c r="E18" s="18" t="s">
        <v>152</v>
      </c>
      <c r="F18" s="18" t="s">
        <v>55</v>
      </c>
      <c r="G18" s="18">
        <v>-15.12</v>
      </c>
      <c r="H18" s="18">
        <v>120.35</v>
      </c>
      <c r="I18" s="18">
        <v>1468</v>
      </c>
      <c r="J18" s="47"/>
      <c r="K18" s="19">
        <v>16.05</v>
      </c>
      <c r="L18" s="19">
        <v>0.14000000000000001</v>
      </c>
      <c r="M18" s="18">
        <v>0.95</v>
      </c>
      <c r="N18" s="18">
        <v>0.13</v>
      </c>
      <c r="O18" s="18">
        <v>0.18</v>
      </c>
      <c r="P18" s="18">
        <v>0.6</v>
      </c>
      <c r="Q18" s="25" t="s">
        <v>83</v>
      </c>
      <c r="R18" s="19">
        <f t="shared" si="0"/>
        <v>16.705263157894738</v>
      </c>
      <c r="S18" s="19">
        <v>0.14000000000000001</v>
      </c>
      <c r="T18" s="19">
        <v>8.02</v>
      </c>
      <c r="U18" s="55">
        <v>0.03</v>
      </c>
      <c r="V18" s="47"/>
      <c r="W18" s="39">
        <v>2.97</v>
      </c>
      <c r="X18" s="20">
        <v>8.3000000000000004E-2</v>
      </c>
      <c r="Y18" s="20">
        <v>0</v>
      </c>
      <c r="Z18" s="20">
        <v>0.84</v>
      </c>
      <c r="AA18" s="20">
        <v>0</v>
      </c>
      <c r="AB18" s="49" t="s">
        <v>90</v>
      </c>
      <c r="AC18" s="19">
        <f t="shared" si="1"/>
        <v>15.215847469390193</v>
      </c>
      <c r="AD18" s="55">
        <f t="shared" si="2"/>
        <v>0</v>
      </c>
    </row>
    <row r="19" spans="1:30" s="17" customFormat="1" ht="40" customHeight="1" x14ac:dyDescent="0.2">
      <c r="A19" s="18" t="s">
        <v>65</v>
      </c>
      <c r="B19" s="18" t="s">
        <v>22</v>
      </c>
      <c r="C19" s="18" t="s">
        <v>61</v>
      </c>
      <c r="D19" s="18" t="s">
        <v>100</v>
      </c>
      <c r="E19" s="18" t="s">
        <v>152</v>
      </c>
      <c r="F19" s="18" t="s">
        <v>55</v>
      </c>
      <c r="G19" s="18">
        <v>-15.12</v>
      </c>
      <c r="H19" s="18">
        <v>120.35</v>
      </c>
      <c r="I19" s="18">
        <v>1468</v>
      </c>
      <c r="J19" s="47"/>
      <c r="K19" s="19">
        <v>17.09</v>
      </c>
      <c r="L19" s="19">
        <v>0.2</v>
      </c>
      <c r="M19" s="18">
        <v>0.95</v>
      </c>
      <c r="N19" s="18">
        <v>0.13</v>
      </c>
      <c r="O19" s="18">
        <v>0.18</v>
      </c>
      <c r="P19" s="18">
        <v>0.6</v>
      </c>
      <c r="Q19" s="25" t="s">
        <v>83</v>
      </c>
      <c r="R19" s="19">
        <f t="shared" si="0"/>
        <v>17.8</v>
      </c>
      <c r="S19" s="19">
        <v>0.2</v>
      </c>
      <c r="T19" s="19">
        <v>8.02</v>
      </c>
      <c r="U19" s="55">
        <v>0.04</v>
      </c>
      <c r="V19" s="47"/>
      <c r="W19" s="39">
        <v>3.52</v>
      </c>
      <c r="X19" s="20">
        <v>0.09</v>
      </c>
      <c r="Y19" s="20">
        <v>0</v>
      </c>
      <c r="Z19" s="20">
        <v>0.38</v>
      </c>
      <c r="AA19" s="20">
        <v>0</v>
      </c>
      <c r="AB19" s="49" t="s">
        <v>89</v>
      </c>
      <c r="AC19" s="19">
        <f t="shared" si="1"/>
        <v>24.733833509685685</v>
      </c>
      <c r="AD19" s="55">
        <f t="shared" si="2"/>
        <v>0</v>
      </c>
    </row>
    <row r="20" spans="1:30" s="17" customFormat="1" ht="40" customHeight="1" x14ac:dyDescent="0.2">
      <c r="A20" s="18" t="s">
        <v>66</v>
      </c>
      <c r="B20" s="18" t="s">
        <v>23</v>
      </c>
      <c r="C20" s="18" t="s">
        <v>61</v>
      </c>
      <c r="D20" s="18" t="s">
        <v>100</v>
      </c>
      <c r="E20" s="18" t="s">
        <v>152</v>
      </c>
      <c r="F20" s="18" t="s">
        <v>55</v>
      </c>
      <c r="G20" s="18">
        <v>-15.12</v>
      </c>
      <c r="H20" s="18">
        <v>120.35</v>
      </c>
      <c r="I20" s="18">
        <v>1468</v>
      </c>
      <c r="J20" s="47"/>
      <c r="K20" s="19">
        <v>15.8</v>
      </c>
      <c r="L20" s="19">
        <v>0.14000000000000001</v>
      </c>
      <c r="M20" s="19">
        <v>0.59</v>
      </c>
      <c r="N20" s="19">
        <v>0.65</v>
      </c>
      <c r="O20" s="19">
        <v>5.59</v>
      </c>
      <c r="P20" s="19">
        <v>4.16</v>
      </c>
      <c r="Q20" s="26" t="s">
        <v>86</v>
      </c>
      <c r="R20" s="19">
        <f t="shared" si="0"/>
        <v>17.305084745762713</v>
      </c>
      <c r="S20" s="19">
        <v>0.14000000000000001</v>
      </c>
      <c r="T20" s="19">
        <v>8</v>
      </c>
      <c r="U20" s="55">
        <v>0.03</v>
      </c>
      <c r="V20" s="47"/>
      <c r="W20" s="39">
        <v>2.48</v>
      </c>
      <c r="X20" s="20">
        <v>0.09</v>
      </c>
      <c r="Y20" s="20">
        <v>0</v>
      </c>
      <c r="Z20" s="20">
        <v>0.32800000000000001</v>
      </c>
      <c r="AA20" s="20">
        <v>7.0000000000000001E-3</v>
      </c>
      <c r="AB20" s="19" t="s">
        <v>78</v>
      </c>
      <c r="AC20" s="19">
        <f t="shared" si="1"/>
        <v>22.477780341943159</v>
      </c>
      <c r="AD20" s="55">
        <f t="shared" si="2"/>
        <v>2.5511111111111113E-2</v>
      </c>
    </row>
    <row r="21" spans="1:30" s="17" customFormat="1" ht="40" customHeight="1" x14ac:dyDescent="0.2">
      <c r="A21" s="18" t="s">
        <v>67</v>
      </c>
      <c r="B21" s="18" t="s">
        <v>24</v>
      </c>
      <c r="C21" s="18" t="s">
        <v>61</v>
      </c>
      <c r="D21" s="18" t="s">
        <v>100</v>
      </c>
      <c r="E21" s="18" t="s">
        <v>152</v>
      </c>
      <c r="F21" s="18" t="s">
        <v>55</v>
      </c>
      <c r="G21" s="18">
        <v>-15.12</v>
      </c>
      <c r="H21" s="18">
        <v>120.35</v>
      </c>
      <c r="I21" s="18">
        <v>1468</v>
      </c>
      <c r="J21" s="47"/>
      <c r="K21" s="19">
        <v>17.38</v>
      </c>
      <c r="L21" s="19">
        <v>0.24</v>
      </c>
      <c r="M21" s="19">
        <v>0.95</v>
      </c>
      <c r="N21" s="19">
        <v>0.16</v>
      </c>
      <c r="O21" s="19">
        <v>-0.42</v>
      </c>
      <c r="P21" s="19">
        <v>2.85</v>
      </c>
      <c r="Q21" s="26" t="s">
        <v>87</v>
      </c>
      <c r="R21" s="19">
        <f t="shared" si="0"/>
        <v>18.736842105263161</v>
      </c>
      <c r="S21" s="19">
        <v>0.24</v>
      </c>
      <c r="T21" s="19">
        <v>8.06</v>
      </c>
      <c r="U21" s="55">
        <v>0.04</v>
      </c>
      <c r="V21" s="47"/>
      <c r="W21" s="39">
        <v>8.23</v>
      </c>
      <c r="X21" s="20">
        <v>0.09</v>
      </c>
      <c r="Y21" s="20">
        <v>0</v>
      </c>
      <c r="Z21" s="20">
        <v>0.59499999999999997</v>
      </c>
      <c r="AA21" s="20">
        <v>4.2000000000000003E-2</v>
      </c>
      <c r="AB21" s="19" t="s">
        <v>78</v>
      </c>
      <c r="AC21" s="19">
        <f t="shared" si="1"/>
        <v>29.188665423616513</v>
      </c>
      <c r="AD21" s="55">
        <f t="shared" si="2"/>
        <v>0.27766666666666667</v>
      </c>
    </row>
    <row r="22" spans="1:30" s="16" customFormat="1" ht="40" customHeight="1" x14ac:dyDescent="0.2">
      <c r="A22" s="13" t="s">
        <v>63</v>
      </c>
      <c r="B22" s="13" t="s">
        <v>25</v>
      </c>
      <c r="C22" s="13" t="s">
        <v>68</v>
      </c>
      <c r="D22" s="13" t="s">
        <v>100</v>
      </c>
      <c r="E22" s="13" t="s">
        <v>153</v>
      </c>
      <c r="F22" s="13">
        <v>3.2</v>
      </c>
      <c r="G22" s="13">
        <v>-15.12</v>
      </c>
      <c r="H22" s="13">
        <v>120.35</v>
      </c>
      <c r="I22" s="13">
        <v>1468</v>
      </c>
      <c r="J22" s="47"/>
      <c r="K22" s="14">
        <v>19.18</v>
      </c>
      <c r="L22" s="14">
        <v>0.15</v>
      </c>
      <c r="M22" s="13">
        <v>0.82</v>
      </c>
      <c r="N22" s="13">
        <v>0.22</v>
      </c>
      <c r="O22" s="13">
        <v>3.94</v>
      </c>
      <c r="P22" s="13">
        <v>4.0199999999999996</v>
      </c>
      <c r="Q22" s="23" t="s">
        <v>166</v>
      </c>
      <c r="R22" s="14">
        <f t="shared" si="0"/>
        <v>18.585365853658537</v>
      </c>
      <c r="S22" s="14">
        <v>0.15</v>
      </c>
      <c r="T22" s="14">
        <v>8.06</v>
      </c>
      <c r="U22" s="53">
        <v>0.03</v>
      </c>
      <c r="V22" s="47"/>
      <c r="W22" s="38">
        <v>4.1399999999999997</v>
      </c>
      <c r="X22" s="15">
        <v>0.09</v>
      </c>
      <c r="Y22" s="15">
        <v>0</v>
      </c>
      <c r="Z22" s="15">
        <v>0.34699999999999998</v>
      </c>
      <c r="AA22" s="15">
        <v>1.0999999999999999E-2</v>
      </c>
      <c r="AB22" s="14" t="s">
        <v>78</v>
      </c>
      <c r="AC22" s="14">
        <f>(LN(W22/Z22))/X22</f>
        <v>27.545847631916676</v>
      </c>
      <c r="AD22" s="53">
        <f t="shared" si="2"/>
        <v>4.2411111111111108E-2</v>
      </c>
    </row>
    <row r="23" spans="1:30" s="16" customFormat="1" ht="40" customHeight="1" x14ac:dyDescent="0.2">
      <c r="A23" s="13" t="s">
        <v>62</v>
      </c>
      <c r="B23" s="13" t="s">
        <v>26</v>
      </c>
      <c r="C23" s="13" t="s">
        <v>68</v>
      </c>
      <c r="D23" s="13" t="s">
        <v>100</v>
      </c>
      <c r="E23" s="13" t="s">
        <v>153</v>
      </c>
      <c r="F23" s="13">
        <v>3.2</v>
      </c>
      <c r="G23" s="13">
        <v>-15.12</v>
      </c>
      <c r="H23" s="13">
        <v>120.35</v>
      </c>
      <c r="I23" s="13">
        <v>1468</v>
      </c>
      <c r="J23" s="46"/>
      <c r="K23" s="13">
        <v>20.12</v>
      </c>
      <c r="L23" s="14">
        <v>0.28000000000000003</v>
      </c>
      <c r="M23" s="22">
        <v>0.6</v>
      </c>
      <c r="N23" s="22">
        <v>0.11</v>
      </c>
      <c r="O23" s="22">
        <v>9.52</v>
      </c>
      <c r="P23" s="22">
        <v>2.02</v>
      </c>
      <c r="Q23" s="34" t="s">
        <v>85</v>
      </c>
      <c r="R23" s="14">
        <f t="shared" si="0"/>
        <v>17.666666666666671</v>
      </c>
      <c r="S23" s="14">
        <v>0.28000000000000003</v>
      </c>
      <c r="T23" s="13">
        <v>7.97</v>
      </c>
      <c r="U23" s="35">
        <v>0.05</v>
      </c>
      <c r="V23" s="46"/>
      <c r="W23" s="38">
        <v>5.25</v>
      </c>
      <c r="X23" s="21">
        <v>8.5000000000000006E-2</v>
      </c>
      <c r="Y23" s="21">
        <v>6.0000000000000001E-3</v>
      </c>
      <c r="Z23" s="21">
        <v>0.48</v>
      </c>
      <c r="AA23" s="21">
        <v>7.0000000000000007E-2</v>
      </c>
      <c r="AB23" s="22" t="s">
        <v>78</v>
      </c>
      <c r="AC23" s="14">
        <f t="shared" si="1"/>
        <v>28.143497078632148</v>
      </c>
      <c r="AD23" s="53">
        <f t="shared" si="2"/>
        <v>2.0255458968179774</v>
      </c>
    </row>
    <row r="24" spans="1:30" s="16" customFormat="1" ht="40" customHeight="1" x14ac:dyDescent="0.2">
      <c r="A24" s="13" t="s">
        <v>47</v>
      </c>
      <c r="B24" s="13" t="s">
        <v>27</v>
      </c>
      <c r="C24" s="13" t="s">
        <v>68</v>
      </c>
      <c r="D24" s="13" t="s">
        <v>100</v>
      </c>
      <c r="E24" s="13" t="s">
        <v>153</v>
      </c>
      <c r="F24" s="13">
        <v>3.2</v>
      </c>
      <c r="G24" s="13">
        <v>-15.12</v>
      </c>
      <c r="H24" s="13">
        <v>120.35</v>
      </c>
      <c r="I24" s="13">
        <v>1468</v>
      </c>
      <c r="J24" s="46"/>
      <c r="K24" s="13">
        <v>19.420000000000002</v>
      </c>
      <c r="L24" s="14">
        <v>0.27</v>
      </c>
      <c r="M24" s="32">
        <v>0.82</v>
      </c>
      <c r="N24" s="32">
        <v>0.22</v>
      </c>
      <c r="O24" s="32">
        <v>3.94</v>
      </c>
      <c r="P24" s="32">
        <v>4.0199999999999996</v>
      </c>
      <c r="Q24" s="33" t="s">
        <v>166</v>
      </c>
      <c r="R24" s="14">
        <f t="shared" si="0"/>
        <v>18.878048780487809</v>
      </c>
      <c r="S24" s="14">
        <v>0.27</v>
      </c>
      <c r="T24" s="13">
        <v>8.08</v>
      </c>
      <c r="U24" s="35">
        <v>0.05</v>
      </c>
      <c r="V24" s="46"/>
      <c r="W24" s="38">
        <v>4.4400000000000004</v>
      </c>
      <c r="X24" s="21">
        <v>0.09</v>
      </c>
      <c r="Y24" s="21">
        <v>0</v>
      </c>
      <c r="Z24" s="21">
        <v>0.34699999999999998</v>
      </c>
      <c r="AA24" s="21">
        <v>1.0999999999999999E-2</v>
      </c>
      <c r="AB24" s="22" t="s">
        <v>78</v>
      </c>
      <c r="AC24" s="14">
        <f t="shared" si="1"/>
        <v>28.323165283104572</v>
      </c>
      <c r="AD24" s="53">
        <f t="shared" si="2"/>
        <v>4.2411111111111108E-2</v>
      </c>
    </row>
    <row r="25" spans="1:30" s="16" customFormat="1" ht="40" customHeight="1" x14ac:dyDescent="0.2">
      <c r="A25" s="13" t="s">
        <v>50</v>
      </c>
      <c r="B25" s="13" t="s">
        <v>28</v>
      </c>
      <c r="C25" s="13" t="s">
        <v>68</v>
      </c>
      <c r="D25" s="13" t="s">
        <v>100</v>
      </c>
      <c r="E25" s="13" t="s">
        <v>153</v>
      </c>
      <c r="F25" s="13">
        <v>3.2</v>
      </c>
      <c r="G25" s="13">
        <v>-15.12</v>
      </c>
      <c r="H25" s="13">
        <v>120.35</v>
      </c>
      <c r="I25" s="13">
        <v>1468</v>
      </c>
      <c r="J25" s="46"/>
      <c r="K25" s="13">
        <v>17.52</v>
      </c>
      <c r="L25" s="14">
        <v>0.3</v>
      </c>
      <c r="M25" s="32">
        <v>0.65</v>
      </c>
      <c r="N25" s="32">
        <v>0.76</v>
      </c>
      <c r="O25" s="32">
        <v>5.36</v>
      </c>
      <c r="P25" s="32">
        <v>1.36</v>
      </c>
      <c r="Q25" s="33" t="s">
        <v>82</v>
      </c>
      <c r="R25" s="14">
        <f t="shared" si="0"/>
        <v>18.707692307692309</v>
      </c>
      <c r="S25" s="14">
        <v>0.3</v>
      </c>
      <c r="T25" s="14">
        <v>8.1</v>
      </c>
      <c r="U25" s="35">
        <v>0.05</v>
      </c>
      <c r="V25" s="46"/>
      <c r="W25" s="38">
        <v>3.56</v>
      </c>
      <c r="X25" s="21">
        <v>9.0999999999999998E-2</v>
      </c>
      <c r="Y25" s="21">
        <v>0</v>
      </c>
      <c r="Z25" s="21">
        <v>0.36</v>
      </c>
      <c r="AA25" s="21">
        <v>0</v>
      </c>
      <c r="AB25" s="22" t="s">
        <v>79</v>
      </c>
      <c r="AC25" s="14">
        <f t="shared" si="1"/>
        <v>25.180349366988139</v>
      </c>
      <c r="AD25" s="53">
        <f t="shared" si="2"/>
        <v>0</v>
      </c>
    </row>
    <row r="26" spans="1:30" s="16" customFormat="1" ht="40" customHeight="1" x14ac:dyDescent="0.2">
      <c r="A26" s="13" t="s">
        <v>51</v>
      </c>
      <c r="B26" s="13" t="s">
        <v>29</v>
      </c>
      <c r="C26" s="13" t="s">
        <v>68</v>
      </c>
      <c r="D26" s="13" t="s">
        <v>100</v>
      </c>
      <c r="E26" s="13" t="s">
        <v>153</v>
      </c>
      <c r="F26" s="13">
        <v>3.2</v>
      </c>
      <c r="G26" s="13">
        <v>-15.12</v>
      </c>
      <c r="H26" s="13">
        <v>120.35</v>
      </c>
      <c r="I26" s="13">
        <v>1468</v>
      </c>
      <c r="J26" s="47"/>
      <c r="K26" s="14">
        <v>15.43</v>
      </c>
      <c r="L26" s="14">
        <v>0.15</v>
      </c>
      <c r="M26" s="32">
        <v>0.95</v>
      </c>
      <c r="N26" s="32">
        <v>0.13</v>
      </c>
      <c r="O26" s="32">
        <v>0.18</v>
      </c>
      <c r="P26" s="32">
        <v>0.6</v>
      </c>
      <c r="Q26" s="33" t="s">
        <v>83</v>
      </c>
      <c r="R26" s="14">
        <f t="shared" si="0"/>
        <v>16.05263157894737</v>
      </c>
      <c r="S26" s="14">
        <v>0.15</v>
      </c>
      <c r="T26" s="14">
        <v>7.86</v>
      </c>
      <c r="U26" s="53">
        <v>0.04</v>
      </c>
      <c r="V26" s="47"/>
      <c r="W26" s="38">
        <v>2.57</v>
      </c>
      <c r="X26" s="21">
        <v>0.09</v>
      </c>
      <c r="Y26" s="21">
        <v>0</v>
      </c>
      <c r="Z26" s="21">
        <v>0.33900000000000002</v>
      </c>
      <c r="AA26" s="21">
        <v>2.9000000000000001E-2</v>
      </c>
      <c r="AB26" s="22" t="s">
        <v>78</v>
      </c>
      <c r="AC26" s="14">
        <f t="shared" si="1"/>
        <v>22.507345227875724</v>
      </c>
      <c r="AD26" s="53">
        <f t="shared" si="2"/>
        <v>0.10923333333333335</v>
      </c>
    </row>
    <row r="27" spans="1:30" s="16" customFormat="1" ht="40" customHeight="1" x14ac:dyDescent="0.2">
      <c r="A27" s="13" t="s">
        <v>67</v>
      </c>
      <c r="B27" s="13" t="s">
        <v>30</v>
      </c>
      <c r="C27" s="13" t="s">
        <v>68</v>
      </c>
      <c r="D27" s="13" t="s">
        <v>100</v>
      </c>
      <c r="E27" s="13" t="s">
        <v>153</v>
      </c>
      <c r="F27" s="13">
        <v>3.2</v>
      </c>
      <c r="G27" s="13">
        <v>-15.12</v>
      </c>
      <c r="H27" s="13">
        <v>120.35</v>
      </c>
      <c r="I27" s="13">
        <v>1468</v>
      </c>
      <c r="J27" s="47"/>
      <c r="K27" s="14">
        <v>18</v>
      </c>
      <c r="L27" s="14">
        <v>0.11</v>
      </c>
      <c r="M27" s="22">
        <v>0.95</v>
      </c>
      <c r="N27" s="22">
        <v>0.16</v>
      </c>
      <c r="O27" s="22">
        <v>-0.42</v>
      </c>
      <c r="P27" s="22">
        <v>2.85</v>
      </c>
      <c r="Q27" s="34" t="s">
        <v>87</v>
      </c>
      <c r="R27" s="14">
        <f t="shared" si="0"/>
        <v>19.389473684210529</v>
      </c>
      <c r="S27" s="14">
        <v>0.11</v>
      </c>
      <c r="T27" s="14">
        <v>8.15</v>
      </c>
      <c r="U27" s="53">
        <v>0.02</v>
      </c>
      <c r="V27" s="47"/>
      <c r="W27" s="38">
        <v>6.03</v>
      </c>
      <c r="X27" s="21">
        <v>0.09</v>
      </c>
      <c r="Y27" s="21">
        <v>0</v>
      </c>
      <c r="Z27" s="21">
        <v>0.59499999999999997</v>
      </c>
      <c r="AA27" s="21">
        <v>4.2000000000000003E-2</v>
      </c>
      <c r="AB27" s="22" t="s">
        <v>78</v>
      </c>
      <c r="AC27" s="14">
        <f t="shared" si="1"/>
        <v>25.732676490840017</v>
      </c>
      <c r="AD27" s="53">
        <f t="shared" si="2"/>
        <v>0.27766666666666667</v>
      </c>
    </row>
    <row r="28" spans="1:30" s="17" customFormat="1" ht="40" customHeight="1" x14ac:dyDescent="0.2">
      <c r="A28" s="18" t="s">
        <v>63</v>
      </c>
      <c r="B28" s="18" t="s">
        <v>31</v>
      </c>
      <c r="C28" s="18" t="s">
        <v>69</v>
      </c>
      <c r="D28" s="18" t="s">
        <v>155</v>
      </c>
      <c r="E28" s="18" t="s">
        <v>154</v>
      </c>
      <c r="F28" s="18" t="s">
        <v>55</v>
      </c>
      <c r="G28" s="18">
        <v>5.82</v>
      </c>
      <c r="H28" s="18">
        <v>142.65</v>
      </c>
      <c r="I28" s="18">
        <v>2341</v>
      </c>
      <c r="J28" s="47"/>
      <c r="K28" s="19">
        <v>19.399999999999999</v>
      </c>
      <c r="L28" s="19">
        <v>0.15</v>
      </c>
      <c r="M28" s="18">
        <v>0.82</v>
      </c>
      <c r="N28" s="18">
        <v>0.22</v>
      </c>
      <c r="O28" s="18">
        <v>3.94</v>
      </c>
      <c r="P28" s="18">
        <v>4.0199999999999996</v>
      </c>
      <c r="Q28" s="25" t="s">
        <v>166</v>
      </c>
      <c r="R28" s="19">
        <f t="shared" si="0"/>
        <v>18.853658536585368</v>
      </c>
      <c r="S28" s="19">
        <v>0.15</v>
      </c>
      <c r="T28" s="19">
        <v>8.09</v>
      </c>
      <c r="U28" s="55">
        <v>0.03</v>
      </c>
      <c r="V28" s="47"/>
      <c r="W28" s="39">
        <v>4.0599999999999996</v>
      </c>
      <c r="X28" s="20">
        <v>0.09</v>
      </c>
      <c r="Y28" s="20">
        <v>0</v>
      </c>
      <c r="Z28" s="20">
        <v>0.34699999999999998</v>
      </c>
      <c r="AA28" s="20">
        <v>1.0999999999999999E-2</v>
      </c>
      <c r="AB28" s="19" t="s">
        <v>78</v>
      </c>
      <c r="AC28" s="19">
        <f>(LN(W28/Z28))/X28</f>
        <v>27.329038584987991</v>
      </c>
      <c r="AD28" s="55">
        <f t="shared" si="2"/>
        <v>4.2411111111111108E-2</v>
      </c>
    </row>
    <row r="29" spans="1:30" s="17" customFormat="1" ht="40" customHeight="1" x14ac:dyDescent="0.2">
      <c r="A29" s="18" t="s">
        <v>67</v>
      </c>
      <c r="B29" s="18" t="s">
        <v>32</v>
      </c>
      <c r="C29" s="18" t="s">
        <v>69</v>
      </c>
      <c r="D29" s="18" t="s">
        <v>155</v>
      </c>
      <c r="E29" s="18" t="s">
        <v>154</v>
      </c>
      <c r="F29" s="18" t="s">
        <v>55</v>
      </c>
      <c r="G29" s="18">
        <v>5.82</v>
      </c>
      <c r="H29" s="18">
        <v>142.65</v>
      </c>
      <c r="I29" s="18">
        <v>2341</v>
      </c>
      <c r="J29" s="47"/>
      <c r="K29" s="19">
        <v>13.43</v>
      </c>
      <c r="L29" s="19">
        <v>0.11</v>
      </c>
      <c r="M29" s="19">
        <v>0.95</v>
      </c>
      <c r="N29" s="19">
        <v>0.16</v>
      </c>
      <c r="O29" s="19">
        <v>-0.42</v>
      </c>
      <c r="P29" s="19">
        <v>2.85</v>
      </c>
      <c r="Q29" s="26" t="s">
        <v>87</v>
      </c>
      <c r="R29" s="19">
        <f t="shared" si="0"/>
        <v>14.578947368421053</v>
      </c>
      <c r="S29" s="19">
        <v>0.11</v>
      </c>
      <c r="T29" s="19">
        <v>7.57</v>
      </c>
      <c r="U29" s="55">
        <v>0.04</v>
      </c>
      <c r="V29" s="47"/>
      <c r="W29" s="39">
        <v>6.88</v>
      </c>
      <c r="X29" s="20">
        <v>0.09</v>
      </c>
      <c r="Y29" s="20">
        <v>0</v>
      </c>
      <c r="Z29" s="20">
        <v>0.59499999999999997</v>
      </c>
      <c r="AA29" s="20">
        <v>4.2000000000000003E-2</v>
      </c>
      <c r="AB29" s="19" t="s">
        <v>78</v>
      </c>
      <c r="AC29" s="19">
        <f t="shared" si="1"/>
        <v>27.19791694868622</v>
      </c>
      <c r="AD29" s="55">
        <f t="shared" si="2"/>
        <v>0.27766666666666667</v>
      </c>
    </row>
    <row r="30" spans="1:30" s="17" customFormat="1" ht="40" customHeight="1" x14ac:dyDescent="0.2">
      <c r="A30" s="18" t="s">
        <v>47</v>
      </c>
      <c r="B30" s="18" t="s">
        <v>33</v>
      </c>
      <c r="C30" s="18" t="s">
        <v>69</v>
      </c>
      <c r="D30" s="18" t="s">
        <v>155</v>
      </c>
      <c r="E30" s="18" t="s">
        <v>154</v>
      </c>
      <c r="F30" s="18" t="s">
        <v>55</v>
      </c>
      <c r="G30" s="18">
        <v>5.82</v>
      </c>
      <c r="H30" s="18">
        <v>142.65</v>
      </c>
      <c r="I30" s="18">
        <v>2341</v>
      </c>
      <c r="J30" s="47"/>
      <c r="K30" s="19">
        <v>19.760000000000002</v>
      </c>
      <c r="L30" s="19">
        <v>0.08</v>
      </c>
      <c r="M30" s="18">
        <v>0.82</v>
      </c>
      <c r="N30" s="18">
        <v>0.22</v>
      </c>
      <c r="O30" s="18">
        <v>3.94</v>
      </c>
      <c r="P30" s="18">
        <v>4.0199999999999996</v>
      </c>
      <c r="Q30" s="25" t="s">
        <v>166</v>
      </c>
      <c r="R30" s="19">
        <f t="shared" si="0"/>
        <v>19.292682926829272</v>
      </c>
      <c r="S30" s="19">
        <v>0.08</v>
      </c>
      <c r="T30" s="19">
        <v>8.1199999999999992</v>
      </c>
      <c r="U30" s="55">
        <v>0.01</v>
      </c>
      <c r="V30" s="47"/>
      <c r="W30" s="39">
        <v>4.12</v>
      </c>
      <c r="X30" s="20">
        <v>0.09</v>
      </c>
      <c r="Y30" s="20">
        <v>0</v>
      </c>
      <c r="Z30" s="20">
        <v>0.34699999999999998</v>
      </c>
      <c r="AA30" s="20">
        <v>1.0999999999999999E-2</v>
      </c>
      <c r="AB30" s="19" t="s">
        <v>78</v>
      </c>
      <c r="AC30" s="19">
        <f t="shared" si="1"/>
        <v>27.492040693296811</v>
      </c>
      <c r="AD30" s="55">
        <f t="shared" si="2"/>
        <v>4.2411111111111108E-2</v>
      </c>
    </row>
    <row r="31" spans="1:30" s="17" customFormat="1" ht="40" customHeight="1" x14ac:dyDescent="0.2">
      <c r="A31" s="18" t="s">
        <v>65</v>
      </c>
      <c r="B31" s="18" t="s">
        <v>34</v>
      </c>
      <c r="C31" s="18" t="s">
        <v>69</v>
      </c>
      <c r="D31" s="18" t="s">
        <v>155</v>
      </c>
      <c r="E31" s="18" t="s">
        <v>154</v>
      </c>
      <c r="F31" s="18" t="s">
        <v>55</v>
      </c>
      <c r="G31" s="18">
        <v>5.82</v>
      </c>
      <c r="H31" s="18">
        <v>142.65</v>
      </c>
      <c r="I31" s="18">
        <v>2341</v>
      </c>
      <c r="J31" s="47"/>
      <c r="K31" s="19">
        <v>18.23</v>
      </c>
      <c r="L31" s="19">
        <v>0.09</v>
      </c>
      <c r="M31" s="18">
        <v>0.95</v>
      </c>
      <c r="N31" s="18">
        <v>0.13</v>
      </c>
      <c r="O31" s="18">
        <v>0.18</v>
      </c>
      <c r="P31" s="18">
        <v>0.6</v>
      </c>
      <c r="Q31" s="25" t="s">
        <v>83</v>
      </c>
      <c r="R31" s="19">
        <f t="shared" si="0"/>
        <v>19</v>
      </c>
      <c r="S31" s="19">
        <v>0.09</v>
      </c>
      <c r="T31" s="19">
        <v>8.1300000000000008</v>
      </c>
      <c r="U31" s="55">
        <v>0.02</v>
      </c>
      <c r="V31" s="47"/>
      <c r="W31" s="39">
        <v>3.42</v>
      </c>
      <c r="X31" s="20">
        <v>0.09</v>
      </c>
      <c r="Y31" s="20">
        <v>0</v>
      </c>
      <c r="Z31" s="20">
        <v>0.38</v>
      </c>
      <c r="AA31" s="20">
        <v>0</v>
      </c>
      <c r="AB31" s="49" t="s">
        <v>89</v>
      </c>
      <c r="AC31" s="19">
        <f t="shared" si="1"/>
        <v>24.413606414846885</v>
      </c>
      <c r="AD31" s="55">
        <f t="shared" si="2"/>
        <v>0</v>
      </c>
    </row>
    <row r="32" spans="1:30" s="17" customFormat="1" ht="40" customHeight="1" x14ac:dyDescent="0.2">
      <c r="A32" s="18" t="s">
        <v>48</v>
      </c>
      <c r="B32" s="18" t="s">
        <v>35</v>
      </c>
      <c r="C32" s="18" t="s">
        <v>69</v>
      </c>
      <c r="D32" s="18" t="s">
        <v>155</v>
      </c>
      <c r="E32" s="18" t="s">
        <v>154</v>
      </c>
      <c r="F32" s="18" t="s">
        <v>55</v>
      </c>
      <c r="G32" s="18">
        <v>5.82</v>
      </c>
      <c r="H32" s="18">
        <v>142.65</v>
      </c>
      <c r="I32" s="18">
        <v>2341</v>
      </c>
      <c r="J32" s="47"/>
      <c r="K32" s="19">
        <v>17.12</v>
      </c>
      <c r="L32" s="19">
        <v>0.13</v>
      </c>
      <c r="M32" s="18">
        <v>0.56999999999999995</v>
      </c>
      <c r="N32" s="18">
        <v>1.2</v>
      </c>
      <c r="O32" s="18">
        <v>6.33</v>
      </c>
      <c r="P32" s="18">
        <v>2.52</v>
      </c>
      <c r="Q32" s="25" t="s">
        <v>82</v>
      </c>
      <c r="R32" s="19">
        <f t="shared" si="0"/>
        <v>18.92982456140351</v>
      </c>
      <c r="S32" s="19">
        <v>0.13</v>
      </c>
      <c r="T32" s="19">
        <v>8.17</v>
      </c>
      <c r="U32" s="55">
        <v>0.02</v>
      </c>
      <c r="V32" s="47"/>
      <c r="W32" s="39">
        <v>2.36</v>
      </c>
      <c r="X32" s="20">
        <v>0.09</v>
      </c>
      <c r="Y32" s="20">
        <v>0</v>
      </c>
      <c r="Z32" s="20">
        <v>0.38</v>
      </c>
      <c r="AA32" s="20">
        <v>0</v>
      </c>
      <c r="AB32" s="19" t="s">
        <v>78</v>
      </c>
      <c r="AC32" s="19">
        <f t="shared" si="1"/>
        <v>20.29161828110249</v>
      </c>
      <c r="AD32" s="55">
        <f t="shared" si="2"/>
        <v>0</v>
      </c>
    </row>
    <row r="33" spans="1:30" s="17" customFormat="1" ht="40" customHeight="1" x14ac:dyDescent="0.2">
      <c r="A33" s="18" t="s">
        <v>64</v>
      </c>
      <c r="B33" s="18" t="s">
        <v>36</v>
      </c>
      <c r="C33" s="18" t="s">
        <v>69</v>
      </c>
      <c r="D33" s="18" t="s">
        <v>155</v>
      </c>
      <c r="E33" s="18" t="s">
        <v>154</v>
      </c>
      <c r="F33" s="18" t="s">
        <v>55</v>
      </c>
      <c r="G33" s="18">
        <v>5.82</v>
      </c>
      <c r="H33" s="18">
        <v>142.65</v>
      </c>
      <c r="I33" s="18">
        <v>2341</v>
      </c>
      <c r="J33" s="47"/>
      <c r="K33" s="19">
        <v>17.16</v>
      </c>
      <c r="L33" s="19">
        <v>0.1</v>
      </c>
      <c r="M33" s="18">
        <v>0.95</v>
      </c>
      <c r="N33" s="18">
        <v>0.13</v>
      </c>
      <c r="O33" s="18">
        <v>0.18</v>
      </c>
      <c r="P33" s="18">
        <v>0.6</v>
      </c>
      <c r="Q33" s="25" t="s">
        <v>83</v>
      </c>
      <c r="R33" s="19">
        <f t="shared" si="0"/>
        <v>17.873684210526317</v>
      </c>
      <c r="S33" s="19">
        <v>0.1</v>
      </c>
      <c r="T33" s="19">
        <v>8.15</v>
      </c>
      <c r="U33" s="55">
        <v>0.02</v>
      </c>
      <c r="V33" s="47"/>
      <c r="W33" s="39">
        <v>2.84</v>
      </c>
      <c r="X33" s="20">
        <v>8.3000000000000004E-2</v>
      </c>
      <c r="Y33" s="20">
        <v>0</v>
      </c>
      <c r="Z33" s="20">
        <v>0.84</v>
      </c>
      <c r="AA33" s="20">
        <v>0</v>
      </c>
      <c r="AB33" s="49" t="s">
        <v>90</v>
      </c>
      <c r="AC33" s="19">
        <f t="shared" si="1"/>
        <v>14.676595654432438</v>
      </c>
      <c r="AD33" s="55">
        <f t="shared" si="2"/>
        <v>0</v>
      </c>
    </row>
    <row r="34" spans="1:30" s="17" customFormat="1" ht="40" customHeight="1" x14ac:dyDescent="0.2">
      <c r="A34" s="18" t="s">
        <v>66</v>
      </c>
      <c r="B34" s="18" t="s">
        <v>37</v>
      </c>
      <c r="C34" s="18" t="s">
        <v>69</v>
      </c>
      <c r="D34" s="18" t="s">
        <v>155</v>
      </c>
      <c r="E34" s="18" t="s">
        <v>154</v>
      </c>
      <c r="F34" s="18" t="s">
        <v>55</v>
      </c>
      <c r="G34" s="18">
        <v>5.82</v>
      </c>
      <c r="H34" s="18">
        <v>142.65</v>
      </c>
      <c r="I34" s="18">
        <v>2341</v>
      </c>
      <c r="J34" s="47"/>
      <c r="K34" s="19">
        <v>17.05</v>
      </c>
      <c r="L34" s="19">
        <v>0.04</v>
      </c>
      <c r="M34" s="19">
        <v>0.59</v>
      </c>
      <c r="N34" s="19">
        <v>0.65</v>
      </c>
      <c r="O34" s="19">
        <v>5.59</v>
      </c>
      <c r="P34" s="19">
        <v>4.16</v>
      </c>
      <c r="Q34" s="26" t="s">
        <v>86</v>
      </c>
      <c r="R34" s="19">
        <f t="shared" si="0"/>
        <v>19.423728813559325</v>
      </c>
      <c r="S34" s="19">
        <v>0.04</v>
      </c>
      <c r="T34" s="19">
        <v>8.18</v>
      </c>
      <c r="U34" s="55">
        <v>0.01</v>
      </c>
      <c r="V34" s="47"/>
      <c r="W34" s="39">
        <v>2.66</v>
      </c>
      <c r="X34" s="20">
        <v>0.09</v>
      </c>
      <c r="Y34" s="20">
        <v>0</v>
      </c>
      <c r="Z34" s="20">
        <v>0.32800000000000001</v>
      </c>
      <c r="AA34" s="20">
        <v>7.0000000000000001E-3</v>
      </c>
      <c r="AB34" s="19" t="s">
        <v>78</v>
      </c>
      <c r="AC34" s="19">
        <f t="shared" si="1"/>
        <v>23.256308815462233</v>
      </c>
      <c r="AD34" s="55">
        <f t="shared" si="2"/>
        <v>2.5511111111111113E-2</v>
      </c>
    </row>
    <row r="35" spans="1:30" s="16" customFormat="1" ht="40" customHeight="1" x14ac:dyDescent="0.2">
      <c r="A35" s="13" t="s">
        <v>63</v>
      </c>
      <c r="B35" s="13" t="s">
        <v>38</v>
      </c>
      <c r="C35" s="13" t="s">
        <v>70</v>
      </c>
      <c r="D35" s="13" t="s">
        <v>155</v>
      </c>
      <c r="E35" s="13" t="s">
        <v>156</v>
      </c>
      <c r="F35" s="13">
        <v>3.2</v>
      </c>
      <c r="G35" s="13">
        <v>5.82</v>
      </c>
      <c r="H35" s="13">
        <v>142.65</v>
      </c>
      <c r="I35" s="13">
        <v>2341</v>
      </c>
      <c r="J35" s="47"/>
      <c r="K35" s="14">
        <v>18.760000000000002</v>
      </c>
      <c r="L35" s="14">
        <v>0.17</v>
      </c>
      <c r="M35" s="32">
        <v>0.82</v>
      </c>
      <c r="N35" s="32">
        <v>0.22</v>
      </c>
      <c r="O35" s="32">
        <v>3.94</v>
      </c>
      <c r="P35" s="32">
        <v>4.0199999999999996</v>
      </c>
      <c r="Q35" s="33" t="s">
        <v>166</v>
      </c>
      <c r="R35" s="14">
        <f t="shared" si="0"/>
        <v>18.073170731707322</v>
      </c>
      <c r="S35" s="14">
        <v>0.17</v>
      </c>
      <c r="T35" s="14">
        <v>8.02</v>
      </c>
      <c r="U35" s="53">
        <v>0.03</v>
      </c>
      <c r="V35" s="47"/>
      <c r="W35" s="38">
        <v>3.95</v>
      </c>
      <c r="X35" s="15">
        <v>0.09</v>
      </c>
      <c r="Y35" s="15">
        <v>0</v>
      </c>
      <c r="Z35" s="15">
        <v>0.34699999999999998</v>
      </c>
      <c r="AA35" s="15">
        <v>1.0999999999999999E-2</v>
      </c>
      <c r="AB35" s="14" t="s">
        <v>78</v>
      </c>
      <c r="AC35" s="14">
        <f>(LN(W35/Z35))/X35</f>
        <v>27.023845310536764</v>
      </c>
      <c r="AD35" s="53">
        <f t="shared" si="2"/>
        <v>4.2411111111111108E-2</v>
      </c>
    </row>
    <row r="36" spans="1:30" s="16" customFormat="1" ht="40" customHeight="1" x14ac:dyDescent="0.2">
      <c r="A36" s="13" t="s">
        <v>62</v>
      </c>
      <c r="B36" s="13" t="s">
        <v>39</v>
      </c>
      <c r="C36" s="13" t="s">
        <v>70</v>
      </c>
      <c r="D36" s="13" t="s">
        <v>155</v>
      </c>
      <c r="E36" s="13" t="s">
        <v>156</v>
      </c>
      <c r="F36" s="13">
        <v>3.2</v>
      </c>
      <c r="G36" s="13">
        <v>5.82</v>
      </c>
      <c r="H36" s="13">
        <v>142.65</v>
      </c>
      <c r="I36" s="13">
        <v>2341</v>
      </c>
      <c r="J36" s="47"/>
      <c r="K36" s="14">
        <v>19.239999999999998</v>
      </c>
      <c r="L36" s="14">
        <v>0.1</v>
      </c>
      <c r="M36" s="22">
        <v>0.6</v>
      </c>
      <c r="N36" s="22">
        <v>0.11</v>
      </c>
      <c r="O36" s="22">
        <v>9.52</v>
      </c>
      <c r="P36" s="22">
        <v>2.02</v>
      </c>
      <c r="Q36" s="34" t="s">
        <v>85</v>
      </c>
      <c r="R36" s="14">
        <f t="shared" si="0"/>
        <v>16.2</v>
      </c>
      <c r="S36" s="14">
        <v>0.1</v>
      </c>
      <c r="T36" s="14">
        <v>7.84</v>
      </c>
      <c r="U36" s="53">
        <v>0.02</v>
      </c>
      <c r="V36" s="47"/>
      <c r="W36" s="38">
        <v>4.2300000000000004</v>
      </c>
      <c r="X36" s="21">
        <v>8.5000000000000006E-2</v>
      </c>
      <c r="Y36" s="21">
        <v>6.0000000000000001E-3</v>
      </c>
      <c r="Z36" s="21">
        <v>0.48</v>
      </c>
      <c r="AA36" s="21">
        <v>7.0000000000000007E-2</v>
      </c>
      <c r="AB36" s="22" t="s">
        <v>78</v>
      </c>
      <c r="AC36" s="14">
        <f t="shared" si="1"/>
        <v>25.602013742804555</v>
      </c>
      <c r="AD36" s="53">
        <f t="shared" si="2"/>
        <v>1.8499277785107238</v>
      </c>
    </row>
    <row r="37" spans="1:30" s="16" customFormat="1" ht="40" customHeight="1" x14ac:dyDescent="0.2">
      <c r="A37" s="13" t="s">
        <v>47</v>
      </c>
      <c r="B37" s="13" t="s">
        <v>40</v>
      </c>
      <c r="C37" s="13" t="s">
        <v>70</v>
      </c>
      <c r="D37" s="13" t="s">
        <v>155</v>
      </c>
      <c r="E37" s="13" t="s">
        <v>156</v>
      </c>
      <c r="F37" s="13">
        <v>3.2</v>
      </c>
      <c r="G37" s="13">
        <v>5.82</v>
      </c>
      <c r="H37" s="13">
        <v>142.65</v>
      </c>
      <c r="I37" s="13">
        <v>2341</v>
      </c>
      <c r="J37" s="47"/>
      <c r="K37" s="14">
        <v>18.63</v>
      </c>
      <c r="L37" s="14">
        <v>0.23</v>
      </c>
      <c r="M37" s="32">
        <v>0.82</v>
      </c>
      <c r="N37" s="32">
        <v>0.22</v>
      </c>
      <c r="O37" s="32">
        <v>3.94</v>
      </c>
      <c r="P37" s="32">
        <v>4.0199999999999996</v>
      </c>
      <c r="Q37" s="33" t="s">
        <v>166</v>
      </c>
      <c r="R37" s="14">
        <f t="shared" si="0"/>
        <v>17.914634146341463</v>
      </c>
      <c r="S37" s="14">
        <v>0.23</v>
      </c>
      <c r="T37" s="14">
        <v>8</v>
      </c>
      <c r="U37" s="53">
        <v>0.04</v>
      </c>
      <c r="V37" s="47"/>
      <c r="W37" s="38">
        <v>3.98</v>
      </c>
      <c r="X37" s="21">
        <v>0.09</v>
      </c>
      <c r="Y37" s="21">
        <v>0</v>
      </c>
      <c r="Z37" s="21">
        <v>0.34699999999999998</v>
      </c>
      <c r="AA37" s="21">
        <v>1.0999999999999999E-2</v>
      </c>
      <c r="AB37" s="22" t="s">
        <v>78</v>
      </c>
      <c r="AC37" s="14">
        <f t="shared" si="1"/>
        <v>27.10791464812916</v>
      </c>
      <c r="AD37" s="53">
        <f t="shared" si="2"/>
        <v>4.2411111111111108E-2</v>
      </c>
    </row>
    <row r="38" spans="1:30" s="16" customFormat="1" ht="40" customHeight="1" x14ac:dyDescent="0.2">
      <c r="A38" s="13" t="s">
        <v>48</v>
      </c>
      <c r="B38" s="13" t="s">
        <v>41</v>
      </c>
      <c r="C38" s="13" t="s">
        <v>70</v>
      </c>
      <c r="D38" s="13" t="s">
        <v>155</v>
      </c>
      <c r="E38" s="13" t="s">
        <v>156</v>
      </c>
      <c r="F38" s="13">
        <v>3.2</v>
      </c>
      <c r="G38" s="13">
        <v>5.82</v>
      </c>
      <c r="H38" s="13">
        <v>142.65</v>
      </c>
      <c r="I38" s="13">
        <v>2341</v>
      </c>
      <c r="J38" s="47"/>
      <c r="K38" s="14">
        <v>16.03</v>
      </c>
      <c r="L38" s="14">
        <v>0.12</v>
      </c>
      <c r="M38" s="32">
        <v>0.56999999999999995</v>
      </c>
      <c r="N38" s="32">
        <v>1.2</v>
      </c>
      <c r="O38" s="32">
        <v>6.33</v>
      </c>
      <c r="P38" s="32">
        <v>2.52</v>
      </c>
      <c r="Q38" s="33" t="s">
        <v>82</v>
      </c>
      <c r="R38" s="14">
        <f t="shared" si="0"/>
        <v>17.017543859649127</v>
      </c>
      <c r="S38" s="14">
        <v>0.12</v>
      </c>
      <c r="T38" s="14">
        <v>7.97</v>
      </c>
      <c r="U38" s="53">
        <v>0.03</v>
      </c>
      <c r="V38" s="47"/>
      <c r="W38" s="38">
        <v>2.83</v>
      </c>
      <c r="X38" s="21">
        <v>0.09</v>
      </c>
      <c r="Y38" s="21">
        <v>0</v>
      </c>
      <c r="Z38" s="21">
        <v>0.38</v>
      </c>
      <c r="AA38" s="21">
        <v>0</v>
      </c>
      <c r="AB38" s="22" t="s">
        <v>78</v>
      </c>
      <c r="AC38" s="14">
        <f t="shared" si="1"/>
        <v>22.309563754631689</v>
      </c>
      <c r="AD38" s="53">
        <f t="shared" si="2"/>
        <v>0</v>
      </c>
    </row>
    <row r="39" spans="1:30" s="16" customFormat="1" ht="40" customHeight="1" x14ac:dyDescent="0.2">
      <c r="A39" s="13" t="s">
        <v>64</v>
      </c>
      <c r="B39" s="13" t="s">
        <v>42</v>
      </c>
      <c r="C39" s="13" t="s">
        <v>70</v>
      </c>
      <c r="D39" s="13" t="s">
        <v>155</v>
      </c>
      <c r="E39" s="13" t="s">
        <v>156</v>
      </c>
      <c r="F39" s="13">
        <v>3.2</v>
      </c>
      <c r="G39" s="13">
        <v>5.82</v>
      </c>
      <c r="H39" s="13">
        <v>142.65</v>
      </c>
      <c r="I39" s="13">
        <v>2341</v>
      </c>
      <c r="J39" s="47"/>
      <c r="K39" s="14">
        <v>16.100000000000001</v>
      </c>
      <c r="L39" s="14">
        <v>0.24</v>
      </c>
      <c r="M39" s="32">
        <v>0.95</v>
      </c>
      <c r="N39" s="32">
        <v>0.13</v>
      </c>
      <c r="O39" s="32">
        <v>0.18</v>
      </c>
      <c r="P39" s="32">
        <v>0.6</v>
      </c>
      <c r="Q39" s="33" t="s">
        <v>83</v>
      </c>
      <c r="R39" s="14">
        <f t="shared" si="0"/>
        <v>16.757894736842108</v>
      </c>
      <c r="S39" s="14">
        <v>0.24</v>
      </c>
      <c r="T39" s="14">
        <v>8.01</v>
      </c>
      <c r="U39" s="53">
        <v>0.05</v>
      </c>
      <c r="V39" s="47"/>
      <c r="W39" s="38">
        <v>3.42</v>
      </c>
      <c r="X39" s="21">
        <v>8.3000000000000004E-2</v>
      </c>
      <c r="Y39" s="21">
        <v>0</v>
      </c>
      <c r="Z39" s="21">
        <v>0.84</v>
      </c>
      <c r="AA39" s="21">
        <v>0</v>
      </c>
      <c r="AB39" s="51" t="s">
        <v>90</v>
      </c>
      <c r="AC39" s="14">
        <f>(LN(W39/Z39))/X39</f>
        <v>16.915589617099897</v>
      </c>
      <c r="AD39" s="53">
        <f t="shared" si="2"/>
        <v>0</v>
      </c>
    </row>
    <row r="40" spans="1:30" s="16" customFormat="1" ht="40" customHeight="1" x14ac:dyDescent="0.2">
      <c r="A40" s="13" t="s">
        <v>66</v>
      </c>
      <c r="B40" s="13" t="s">
        <v>43</v>
      </c>
      <c r="C40" s="13" t="s">
        <v>70</v>
      </c>
      <c r="D40" s="13" t="s">
        <v>155</v>
      </c>
      <c r="E40" s="13" t="s">
        <v>156</v>
      </c>
      <c r="F40" s="13">
        <v>3.2</v>
      </c>
      <c r="G40" s="13">
        <v>5.82</v>
      </c>
      <c r="H40" s="13">
        <v>142.65</v>
      </c>
      <c r="I40" s="13">
        <v>2341</v>
      </c>
      <c r="J40" s="47"/>
      <c r="K40" s="14">
        <v>16.04</v>
      </c>
      <c r="L40" s="14">
        <v>0.26</v>
      </c>
      <c r="M40" s="22">
        <v>0.59</v>
      </c>
      <c r="N40" s="22">
        <v>0.65</v>
      </c>
      <c r="O40" s="22">
        <v>5.59</v>
      </c>
      <c r="P40" s="22">
        <v>4.16</v>
      </c>
      <c r="Q40" s="34" t="s">
        <v>86</v>
      </c>
      <c r="R40" s="14">
        <f t="shared" si="0"/>
        <v>17.711864406779661</v>
      </c>
      <c r="S40" s="14">
        <v>0.26</v>
      </c>
      <c r="T40" s="14">
        <v>8.02</v>
      </c>
      <c r="U40" s="53">
        <v>0.05</v>
      </c>
      <c r="V40" s="47"/>
      <c r="W40" s="38">
        <v>2.96</v>
      </c>
      <c r="X40" s="21">
        <v>0.09</v>
      </c>
      <c r="Y40" s="21">
        <v>0</v>
      </c>
      <c r="Z40" s="21">
        <v>0.32800000000000001</v>
      </c>
      <c r="AA40" s="21">
        <v>7.0000000000000001E-3</v>
      </c>
      <c r="AB40" s="22" t="s">
        <v>78</v>
      </c>
      <c r="AC40" s="14">
        <f t="shared" si="1"/>
        <v>24.44367709926625</v>
      </c>
      <c r="AD40" s="53">
        <f t="shared" si="2"/>
        <v>2.5511111111111113E-2</v>
      </c>
    </row>
    <row r="41" spans="1:30" s="16" customFormat="1" ht="40" customHeight="1" x14ac:dyDescent="0.2">
      <c r="A41" s="13" t="s">
        <v>67</v>
      </c>
      <c r="B41" s="13" t="s">
        <v>44</v>
      </c>
      <c r="C41" s="13" t="s">
        <v>70</v>
      </c>
      <c r="D41" s="13" t="s">
        <v>155</v>
      </c>
      <c r="E41" s="13" t="s">
        <v>156</v>
      </c>
      <c r="F41" s="13">
        <v>3.2</v>
      </c>
      <c r="G41" s="13">
        <v>5.82</v>
      </c>
      <c r="H41" s="13">
        <v>142.65</v>
      </c>
      <c r="I41" s="13">
        <v>2341</v>
      </c>
      <c r="J41" s="47"/>
      <c r="K41" s="14">
        <v>17.059999999999999</v>
      </c>
      <c r="L41" s="14">
        <v>0.17</v>
      </c>
      <c r="M41" s="22">
        <v>0.95</v>
      </c>
      <c r="N41" s="22">
        <v>0.16</v>
      </c>
      <c r="O41" s="22">
        <v>-0.42</v>
      </c>
      <c r="P41" s="22">
        <v>2.85</v>
      </c>
      <c r="Q41" s="34" t="s">
        <v>87</v>
      </c>
      <c r="R41" s="14">
        <f t="shared" si="0"/>
        <v>18.400000000000002</v>
      </c>
      <c r="S41" s="14">
        <v>0.17</v>
      </c>
      <c r="T41" s="14">
        <v>8.1</v>
      </c>
      <c r="U41" s="53">
        <v>0.03</v>
      </c>
      <c r="V41" s="47"/>
      <c r="W41" s="40">
        <v>4.51</v>
      </c>
      <c r="X41" s="21">
        <v>0.09</v>
      </c>
      <c r="Y41" s="21">
        <v>0</v>
      </c>
      <c r="Z41" s="21">
        <v>0.59499999999999997</v>
      </c>
      <c r="AA41" s="21">
        <v>4.2000000000000003E-2</v>
      </c>
      <c r="AB41" s="22" t="s">
        <v>78</v>
      </c>
      <c r="AC41" s="14">
        <f t="shared" si="1"/>
        <v>22.505455855012162</v>
      </c>
      <c r="AD41" s="53">
        <f t="shared" si="2"/>
        <v>0.27766666666666667</v>
      </c>
    </row>
    <row r="42" spans="1:30" x14ac:dyDescent="0.2">
      <c r="S42" s="4"/>
      <c r="W42" s="41"/>
      <c r="AB42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4178-6BD8-AF46-8CC7-213046A7810A}">
  <dimension ref="A1:O111"/>
  <sheetViews>
    <sheetView zoomScale="111" workbookViewId="0">
      <pane ySplit="1" topLeftCell="A2" activePane="bottomLeft" state="frozen"/>
      <selection pane="bottomLeft" activeCell="H9" sqref="H9:H10"/>
    </sheetView>
  </sheetViews>
  <sheetFormatPr baseColWidth="10" defaultRowHeight="16" x14ac:dyDescent="0.2"/>
  <cols>
    <col min="1" max="1" width="10.83203125" style="83"/>
    <col min="2" max="2" width="25.83203125" style="57" customWidth="1"/>
    <col min="3" max="4" width="10.83203125" style="60"/>
    <col min="5" max="5" width="33.6640625" style="60" customWidth="1"/>
    <col min="6" max="8" width="12.83203125" style="60" customWidth="1"/>
    <col min="9" max="10" width="11.83203125" style="60" customWidth="1"/>
    <col min="11" max="11" width="0" style="60" hidden="1" customWidth="1"/>
    <col min="12" max="12" width="23.83203125" style="60" customWidth="1"/>
    <col min="13" max="13" width="55.5" style="61" customWidth="1"/>
    <col min="14" max="14" width="44" style="61" customWidth="1"/>
    <col min="15" max="16384" width="10.83203125" style="60"/>
  </cols>
  <sheetData>
    <row r="1" spans="1:15" s="58" customFormat="1" ht="45" customHeight="1" x14ac:dyDescent="0.2">
      <c r="A1" s="82" t="s">
        <v>133</v>
      </c>
      <c r="B1" s="74" t="s">
        <v>1</v>
      </c>
      <c r="C1" s="74" t="s">
        <v>91</v>
      </c>
      <c r="D1" s="75" t="s">
        <v>0</v>
      </c>
      <c r="E1" s="75" t="s">
        <v>92</v>
      </c>
      <c r="F1" s="76" t="s">
        <v>93</v>
      </c>
      <c r="G1" s="75" t="s">
        <v>94</v>
      </c>
      <c r="H1" s="77" t="s">
        <v>158</v>
      </c>
      <c r="I1" s="78" t="s">
        <v>95</v>
      </c>
      <c r="J1" s="78" t="s">
        <v>96</v>
      </c>
      <c r="K1" s="79" t="s">
        <v>97</v>
      </c>
      <c r="L1" s="80" t="s">
        <v>98</v>
      </c>
      <c r="M1" s="75" t="s">
        <v>77</v>
      </c>
      <c r="N1" s="75" t="s">
        <v>99</v>
      </c>
    </row>
    <row r="2" spans="1:15" s="64" customFormat="1" ht="22" customHeight="1" x14ac:dyDescent="0.2">
      <c r="A2" s="69" t="s">
        <v>134</v>
      </c>
      <c r="B2" s="62" t="s">
        <v>108</v>
      </c>
      <c r="C2" s="62">
        <v>31</v>
      </c>
      <c r="D2" s="62">
        <v>296</v>
      </c>
      <c r="E2" s="62" t="s">
        <v>111</v>
      </c>
      <c r="F2" s="62">
        <v>29.34</v>
      </c>
      <c r="G2" s="62">
        <v>133.53</v>
      </c>
      <c r="H2" s="62">
        <v>2920</v>
      </c>
      <c r="I2" s="62">
        <v>-7.0000000000000007E-2</v>
      </c>
      <c r="J2" s="62">
        <v>2.33</v>
      </c>
      <c r="K2" s="62"/>
      <c r="L2" s="62">
        <v>3180</v>
      </c>
      <c r="M2" s="68" t="s">
        <v>112</v>
      </c>
      <c r="N2" s="68"/>
      <c r="O2" s="67"/>
    </row>
    <row r="3" spans="1:15" s="64" customFormat="1" ht="22" customHeight="1" x14ac:dyDescent="0.2">
      <c r="A3" s="69" t="s">
        <v>134</v>
      </c>
      <c r="B3" s="62" t="s">
        <v>115</v>
      </c>
      <c r="C3" s="62">
        <v>350</v>
      </c>
      <c r="D3" s="62">
        <v>1436</v>
      </c>
      <c r="E3" s="62" t="s">
        <v>131</v>
      </c>
      <c r="F3" s="62">
        <v>32.39</v>
      </c>
      <c r="G3" s="62">
        <v>140.37</v>
      </c>
      <c r="H3" s="62">
        <v>1771</v>
      </c>
      <c r="I3" s="62">
        <v>0.51</v>
      </c>
      <c r="J3" s="62">
        <v>-0.32</v>
      </c>
      <c r="K3" s="62"/>
      <c r="L3" s="62">
        <v>0</v>
      </c>
      <c r="M3" s="68" t="s">
        <v>132</v>
      </c>
      <c r="N3" s="68" t="s">
        <v>130</v>
      </c>
      <c r="O3" s="67"/>
    </row>
    <row r="4" spans="1:15" s="64" customFormat="1" ht="22" customHeight="1" x14ac:dyDescent="0.2">
      <c r="A4" s="69" t="s">
        <v>134</v>
      </c>
      <c r="B4" s="62" t="s">
        <v>108</v>
      </c>
      <c r="C4" s="62" t="s">
        <v>144</v>
      </c>
      <c r="D4" s="62" t="s">
        <v>144</v>
      </c>
      <c r="E4" s="62" t="s">
        <v>143</v>
      </c>
      <c r="F4" s="62">
        <v>32.090000000000003</v>
      </c>
      <c r="G4" s="62">
        <v>133.54</v>
      </c>
      <c r="H4" s="62">
        <v>2700</v>
      </c>
      <c r="I4" s="62">
        <v>-0.12</v>
      </c>
      <c r="J4" s="62" t="s">
        <v>144</v>
      </c>
      <c r="K4" s="62"/>
      <c r="L4" s="62">
        <v>0</v>
      </c>
      <c r="M4" s="68" t="s">
        <v>157</v>
      </c>
      <c r="N4" s="68" t="s">
        <v>142</v>
      </c>
      <c r="O4" s="67"/>
    </row>
    <row r="5" spans="1:15" s="64" customFormat="1" ht="22" customHeight="1" x14ac:dyDescent="0.2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7"/>
      <c r="N5" s="68"/>
      <c r="O5" s="67"/>
    </row>
    <row r="6" spans="1:15" s="69" customFormat="1" ht="22" customHeight="1" x14ac:dyDescent="0.2">
      <c r="A6" s="69" t="s">
        <v>135</v>
      </c>
      <c r="B6" s="62" t="s">
        <v>108</v>
      </c>
      <c r="C6" s="69">
        <v>198</v>
      </c>
      <c r="D6" s="69" t="s">
        <v>116</v>
      </c>
      <c r="E6" s="69" t="s">
        <v>118</v>
      </c>
      <c r="F6" s="69">
        <v>32.65</v>
      </c>
      <c r="G6" s="69">
        <v>158.51</v>
      </c>
      <c r="H6" s="69">
        <v>2387</v>
      </c>
      <c r="I6" s="69">
        <v>0.03</v>
      </c>
      <c r="J6" s="70">
        <v>3.4</v>
      </c>
      <c r="L6" s="62">
        <v>3197.5</v>
      </c>
      <c r="M6" s="68" t="s">
        <v>117</v>
      </c>
      <c r="N6" s="67"/>
    </row>
    <row r="7" spans="1:15" s="69" customFormat="1" ht="22" customHeight="1" x14ac:dyDescent="0.2">
      <c r="A7" s="69" t="s">
        <v>135</v>
      </c>
      <c r="B7" s="62" t="s">
        <v>108</v>
      </c>
      <c r="C7" s="69">
        <v>198</v>
      </c>
      <c r="D7" s="69" t="s">
        <v>119</v>
      </c>
      <c r="E7" s="69" t="s">
        <v>120</v>
      </c>
      <c r="F7" s="69">
        <v>32.22</v>
      </c>
      <c r="G7" s="69">
        <v>158.26</v>
      </c>
      <c r="H7" s="69">
        <v>2574</v>
      </c>
      <c r="I7" s="69">
        <v>0.03</v>
      </c>
      <c r="J7" s="69">
        <v>3.41</v>
      </c>
      <c r="L7" s="62">
        <v>3198.6</v>
      </c>
      <c r="M7" s="68" t="s">
        <v>117</v>
      </c>
      <c r="N7" s="67"/>
    </row>
    <row r="8" spans="1:15" s="69" customFormat="1" ht="22" customHeight="1" x14ac:dyDescent="0.2">
      <c r="A8" s="85"/>
      <c r="B8" s="86"/>
      <c r="C8" s="85"/>
      <c r="D8" s="85"/>
      <c r="E8" s="85"/>
      <c r="F8" s="85"/>
      <c r="G8" s="85"/>
      <c r="H8" s="85"/>
      <c r="I8" s="85"/>
      <c r="J8" s="85"/>
      <c r="K8" s="85"/>
      <c r="L8" s="85"/>
      <c r="M8" s="88"/>
      <c r="N8" s="67"/>
    </row>
    <row r="9" spans="1:15" s="64" customFormat="1" ht="22" customHeight="1" x14ac:dyDescent="0.2">
      <c r="A9" s="69" t="s">
        <v>136</v>
      </c>
      <c r="B9" s="62" t="s">
        <v>108</v>
      </c>
      <c r="C9" s="71">
        <v>89</v>
      </c>
      <c r="D9" s="71">
        <v>586</v>
      </c>
      <c r="E9" s="71" t="s">
        <v>109</v>
      </c>
      <c r="F9" s="72">
        <v>-0.5</v>
      </c>
      <c r="G9" s="72">
        <v>158.5</v>
      </c>
      <c r="H9" s="73">
        <v>2207</v>
      </c>
      <c r="I9" s="72">
        <v>-0.03</v>
      </c>
      <c r="J9" s="72">
        <v>2.23</v>
      </c>
      <c r="K9" s="71"/>
      <c r="L9" s="71">
        <v>3180</v>
      </c>
      <c r="M9" s="66" t="s">
        <v>110</v>
      </c>
      <c r="N9" s="66" t="s">
        <v>126</v>
      </c>
    </row>
    <row r="10" spans="1:15" s="64" customFormat="1" ht="22" customHeight="1" x14ac:dyDescent="0.2">
      <c r="A10" s="69" t="s">
        <v>136</v>
      </c>
      <c r="B10" s="62" t="s">
        <v>108</v>
      </c>
      <c r="C10" s="71">
        <v>363</v>
      </c>
      <c r="D10" s="71" t="s">
        <v>162</v>
      </c>
      <c r="E10" s="71" t="s">
        <v>55</v>
      </c>
      <c r="F10" s="65">
        <v>5.49</v>
      </c>
      <c r="G10" s="62">
        <v>142.38999999999999</v>
      </c>
      <c r="H10" s="63">
        <v>2341</v>
      </c>
      <c r="I10" s="72">
        <v>7.0000000000000007E-2</v>
      </c>
      <c r="J10" s="72">
        <v>3.19</v>
      </c>
      <c r="K10" s="71"/>
      <c r="L10" s="71">
        <v>0</v>
      </c>
      <c r="M10" s="68" t="s">
        <v>101</v>
      </c>
      <c r="N10" s="66"/>
    </row>
    <row r="11" spans="1:15" s="64" customFormat="1" ht="22" customHeight="1" x14ac:dyDescent="0.2">
      <c r="A11" s="69" t="s">
        <v>136</v>
      </c>
      <c r="B11" s="62" t="s">
        <v>108</v>
      </c>
      <c r="C11" s="71">
        <v>130</v>
      </c>
      <c r="D11" s="71">
        <v>806</v>
      </c>
      <c r="E11" s="71" t="s">
        <v>55</v>
      </c>
      <c r="F11" s="72">
        <v>0.32</v>
      </c>
      <c r="G11" s="72">
        <v>159.36000000000001</v>
      </c>
      <c r="H11" s="73">
        <v>2520</v>
      </c>
      <c r="I11" s="72">
        <v>0.27</v>
      </c>
      <c r="J11" s="72" t="s">
        <v>144</v>
      </c>
      <c r="K11" s="71"/>
      <c r="L11" s="71">
        <v>0</v>
      </c>
      <c r="M11" s="66" t="s">
        <v>140</v>
      </c>
      <c r="N11" s="68" t="s">
        <v>141</v>
      </c>
    </row>
    <row r="12" spans="1:15" s="64" customFormat="1" ht="22" customHeight="1" x14ac:dyDescent="0.2">
      <c r="A12" s="69" t="s">
        <v>136</v>
      </c>
      <c r="B12" s="62" t="s">
        <v>108</v>
      </c>
      <c r="C12" s="71">
        <v>130</v>
      </c>
      <c r="D12" s="71">
        <v>806</v>
      </c>
      <c r="E12" s="71" t="s">
        <v>161</v>
      </c>
      <c r="F12" s="72">
        <v>0.32</v>
      </c>
      <c r="G12" s="72">
        <v>159.36000000000001</v>
      </c>
      <c r="H12" s="73">
        <v>2520</v>
      </c>
      <c r="I12" s="72">
        <v>0.16</v>
      </c>
      <c r="J12" s="72" t="s">
        <v>144</v>
      </c>
      <c r="K12" s="71"/>
      <c r="L12" s="71" t="s">
        <v>160</v>
      </c>
      <c r="M12" s="66" t="s">
        <v>159</v>
      </c>
      <c r="N12" s="68"/>
    </row>
    <row r="13" spans="1:15" x14ac:dyDescent="0.2">
      <c r="A13" s="86"/>
      <c r="B13" s="86"/>
      <c r="C13" s="86"/>
      <c r="D13" s="86"/>
      <c r="E13" s="86"/>
      <c r="F13" s="92"/>
      <c r="G13" s="92"/>
      <c r="H13" s="91"/>
      <c r="I13" s="90"/>
      <c r="J13" s="85"/>
      <c r="K13" s="85"/>
      <c r="L13" s="89"/>
      <c r="M13" s="87"/>
    </row>
    <row r="14" spans="1:15" s="64" customFormat="1" ht="37" customHeight="1" x14ac:dyDescent="0.2">
      <c r="A14" s="62" t="s">
        <v>137</v>
      </c>
      <c r="B14" s="62" t="s">
        <v>108</v>
      </c>
      <c r="C14" s="71"/>
      <c r="D14" s="71">
        <v>849</v>
      </c>
      <c r="E14" s="81" t="s">
        <v>129</v>
      </c>
      <c r="F14" s="72">
        <v>-0.18</v>
      </c>
      <c r="G14" s="72">
        <v>249.48</v>
      </c>
      <c r="H14" s="73">
        <v>3839</v>
      </c>
      <c r="I14" s="72">
        <v>0.27</v>
      </c>
      <c r="J14" s="72">
        <v>3.15</v>
      </c>
      <c r="K14" s="71"/>
      <c r="L14" s="84" t="s">
        <v>163</v>
      </c>
      <c r="M14" s="66" t="s">
        <v>128</v>
      </c>
      <c r="N14" s="66" t="s">
        <v>127</v>
      </c>
    </row>
    <row r="15" spans="1:15" s="64" customFormat="1" ht="22" customHeight="1" x14ac:dyDescent="0.2">
      <c r="A15" s="69" t="s">
        <v>137</v>
      </c>
      <c r="B15" s="62" t="s">
        <v>108</v>
      </c>
      <c r="C15" s="62">
        <v>138</v>
      </c>
      <c r="D15" s="62">
        <v>849</v>
      </c>
      <c r="E15" s="62" t="s">
        <v>55</v>
      </c>
      <c r="F15" s="62">
        <v>0.18</v>
      </c>
      <c r="G15" s="62">
        <v>249.47</v>
      </c>
      <c r="H15" s="62">
        <v>3839</v>
      </c>
      <c r="I15" s="62">
        <v>0.16</v>
      </c>
      <c r="J15" s="62" t="s">
        <v>144</v>
      </c>
      <c r="K15" s="62"/>
      <c r="L15" s="62">
        <v>0</v>
      </c>
      <c r="M15" s="67" t="s">
        <v>138</v>
      </c>
      <c r="N15" s="68"/>
    </row>
    <row r="16" spans="1:15" s="64" customFormat="1" ht="22" customHeight="1" x14ac:dyDescent="0.2">
      <c r="A16" s="69" t="s">
        <v>137</v>
      </c>
      <c r="B16" s="62" t="s">
        <v>103</v>
      </c>
      <c r="C16" s="62">
        <v>138</v>
      </c>
      <c r="D16" s="62" t="s">
        <v>104</v>
      </c>
      <c r="E16" s="62" t="s">
        <v>105</v>
      </c>
      <c r="F16" s="65">
        <v>2.77</v>
      </c>
      <c r="G16" s="62">
        <v>249.43</v>
      </c>
      <c r="H16" s="63">
        <v>3760</v>
      </c>
      <c r="I16" s="65">
        <v>2.83</v>
      </c>
      <c r="J16" s="65">
        <v>-1.49</v>
      </c>
      <c r="K16" s="62"/>
      <c r="L16" s="63">
        <v>3201.9</v>
      </c>
      <c r="M16" s="68" t="s">
        <v>106</v>
      </c>
      <c r="N16" s="68"/>
    </row>
    <row r="17" spans="1:14" s="64" customFormat="1" ht="22" customHeight="1" x14ac:dyDescent="0.2">
      <c r="A17" s="69" t="s">
        <v>137</v>
      </c>
      <c r="B17" s="62" t="s">
        <v>103</v>
      </c>
      <c r="C17" s="62">
        <v>136</v>
      </c>
      <c r="D17" s="62" t="s">
        <v>113</v>
      </c>
      <c r="E17" s="62" t="s">
        <v>114</v>
      </c>
      <c r="F17" s="65">
        <v>2.77</v>
      </c>
      <c r="G17" s="65">
        <v>249.43</v>
      </c>
      <c r="H17" s="62">
        <v>3761</v>
      </c>
      <c r="I17" s="65">
        <v>2.2000000000000002</v>
      </c>
      <c r="J17" s="65">
        <v>-0.91</v>
      </c>
      <c r="K17" s="62"/>
      <c r="L17" s="62">
        <v>0</v>
      </c>
      <c r="M17" s="68" t="s">
        <v>106</v>
      </c>
      <c r="N17" s="68" t="s">
        <v>124</v>
      </c>
    </row>
    <row r="18" spans="1:14" s="64" customFormat="1" ht="22" customHeight="1" x14ac:dyDescent="0.2">
      <c r="A18" s="69" t="s">
        <v>137</v>
      </c>
      <c r="B18" s="62" t="s">
        <v>115</v>
      </c>
      <c r="C18" s="62">
        <v>201</v>
      </c>
      <c r="D18" s="62" t="s">
        <v>102</v>
      </c>
      <c r="E18" s="62" t="s">
        <v>122</v>
      </c>
      <c r="F18" s="65">
        <v>5.84</v>
      </c>
      <c r="G18" s="65">
        <v>273.56</v>
      </c>
      <c r="H18" s="62">
        <v>2027</v>
      </c>
      <c r="I18" s="65">
        <v>0.89</v>
      </c>
      <c r="J18" s="65">
        <v>-0.8</v>
      </c>
      <c r="K18" s="62"/>
      <c r="L18" s="63">
        <v>3200</v>
      </c>
      <c r="M18" s="68" t="s">
        <v>123</v>
      </c>
      <c r="N18" s="68"/>
    </row>
    <row r="19" spans="1:14" s="64" customFormat="1" ht="22" customHeight="1" x14ac:dyDescent="0.2">
      <c r="A19" s="69" t="s">
        <v>137</v>
      </c>
      <c r="B19" s="62" t="s">
        <v>115</v>
      </c>
      <c r="C19" s="62">
        <v>136</v>
      </c>
      <c r="D19" s="62" t="s">
        <v>113</v>
      </c>
      <c r="E19" s="62" t="s">
        <v>114</v>
      </c>
      <c r="F19" s="65">
        <v>2.77</v>
      </c>
      <c r="G19" s="65">
        <v>249.43</v>
      </c>
      <c r="H19" s="62">
        <v>3761</v>
      </c>
      <c r="I19" s="65">
        <v>1.31</v>
      </c>
      <c r="J19" s="65">
        <v>0.72</v>
      </c>
      <c r="K19" s="62"/>
      <c r="L19" s="62">
        <v>0</v>
      </c>
      <c r="M19" s="68" t="s">
        <v>106</v>
      </c>
      <c r="N19" s="68"/>
    </row>
    <row r="20" spans="1:14" s="64" customFormat="1" ht="22" customHeight="1" x14ac:dyDescent="0.2">
      <c r="A20" s="69" t="s">
        <v>137</v>
      </c>
      <c r="B20" s="62" t="s">
        <v>107</v>
      </c>
      <c r="C20" s="62">
        <v>138</v>
      </c>
      <c r="D20" s="62" t="s">
        <v>104</v>
      </c>
      <c r="E20" s="62" t="s">
        <v>105</v>
      </c>
      <c r="F20" s="65">
        <v>2.77</v>
      </c>
      <c r="G20" s="62">
        <v>249.43</v>
      </c>
      <c r="H20" s="63">
        <v>3760</v>
      </c>
      <c r="I20" s="65">
        <v>1.67</v>
      </c>
      <c r="J20" s="65">
        <v>0.21</v>
      </c>
      <c r="K20" s="62"/>
      <c r="L20" s="63">
        <v>3201.9</v>
      </c>
      <c r="M20" s="68" t="s">
        <v>106</v>
      </c>
      <c r="N20" s="68"/>
    </row>
    <row r="21" spans="1:14" s="64" customFormat="1" ht="22" customHeight="1" x14ac:dyDescent="0.2">
      <c r="A21" s="69" t="s">
        <v>137</v>
      </c>
      <c r="B21" s="62" t="s">
        <v>107</v>
      </c>
      <c r="C21" s="62">
        <v>136</v>
      </c>
      <c r="D21" s="62" t="s">
        <v>113</v>
      </c>
      <c r="E21" s="62" t="s">
        <v>114</v>
      </c>
      <c r="F21" s="65">
        <v>2.77</v>
      </c>
      <c r="G21" s="65">
        <v>249.43</v>
      </c>
      <c r="H21" s="62">
        <v>3761</v>
      </c>
      <c r="I21" s="65">
        <v>1.77</v>
      </c>
      <c r="J21" s="65">
        <v>0.65</v>
      </c>
      <c r="K21" s="62"/>
      <c r="L21" s="62">
        <v>0</v>
      </c>
      <c r="M21" s="68" t="s">
        <v>106</v>
      </c>
      <c r="N21" s="66" t="s">
        <v>125</v>
      </c>
    </row>
    <row r="22" spans="1:14" s="64" customFormat="1" ht="22" customHeight="1" x14ac:dyDescent="0.2">
      <c r="A22" s="62" t="s">
        <v>137</v>
      </c>
      <c r="B22" s="62" t="s">
        <v>108</v>
      </c>
      <c r="C22" s="62">
        <v>138</v>
      </c>
      <c r="D22" s="62">
        <v>846</v>
      </c>
      <c r="F22" s="62">
        <v>-3.1</v>
      </c>
      <c r="G22" s="62">
        <v>269.18</v>
      </c>
      <c r="H22" s="62">
        <v>3296</v>
      </c>
      <c r="I22" s="62">
        <v>-0.16</v>
      </c>
      <c r="J22" s="62" t="s">
        <v>144</v>
      </c>
      <c r="K22" s="62"/>
      <c r="L22" s="62" t="s">
        <v>160</v>
      </c>
      <c r="M22" s="64" t="s">
        <v>164</v>
      </c>
      <c r="N22" s="67" t="s">
        <v>139</v>
      </c>
    </row>
    <row r="23" spans="1:14" s="64" customFormat="1" ht="22" customHeight="1" x14ac:dyDescent="0.2">
      <c r="A23" s="62" t="s">
        <v>137</v>
      </c>
      <c r="B23" s="62" t="s">
        <v>108</v>
      </c>
      <c r="C23" s="62">
        <v>138</v>
      </c>
      <c r="D23" s="62">
        <v>846</v>
      </c>
      <c r="E23" s="62" t="s">
        <v>55</v>
      </c>
      <c r="F23" s="62">
        <v>-3.1</v>
      </c>
      <c r="G23" s="62">
        <v>269.18</v>
      </c>
      <c r="H23" s="62">
        <v>3296</v>
      </c>
      <c r="I23" s="62">
        <v>0.08</v>
      </c>
      <c r="J23" s="62" t="s">
        <v>144</v>
      </c>
      <c r="K23" s="62"/>
      <c r="L23" s="62">
        <v>0</v>
      </c>
      <c r="M23" s="67" t="s">
        <v>138</v>
      </c>
      <c r="N23" s="67" t="s">
        <v>139</v>
      </c>
    </row>
    <row r="24" spans="1:14" s="64" customFormat="1" ht="22" customHeight="1" x14ac:dyDescent="0.2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7"/>
      <c r="N24" s="67"/>
    </row>
    <row r="25" spans="1:14" s="64" customFormat="1" ht="22" customHeight="1" x14ac:dyDescent="0.2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7"/>
      <c r="N25" s="67"/>
    </row>
    <row r="26" spans="1:14" s="64" customFormat="1" ht="22" customHeight="1" x14ac:dyDescent="0.2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7"/>
      <c r="N26" s="67"/>
    </row>
    <row r="27" spans="1:14" ht="22" customHeight="1" x14ac:dyDescent="0.2">
      <c r="A27" s="57"/>
      <c r="C27" s="57"/>
      <c r="D27" s="57"/>
      <c r="E27" s="57"/>
      <c r="F27" s="57"/>
      <c r="G27" s="57"/>
      <c r="H27" s="57"/>
      <c r="I27" s="57"/>
      <c r="J27" s="57"/>
      <c r="K27" s="57"/>
      <c r="L27" s="57"/>
    </row>
    <row r="28" spans="1:14" ht="22" customHeight="1" x14ac:dyDescent="0.2">
      <c r="A28" s="57"/>
      <c r="C28" s="57"/>
      <c r="D28" s="57"/>
      <c r="E28" s="57"/>
      <c r="F28" s="57"/>
      <c r="G28" s="57"/>
      <c r="H28" s="57"/>
      <c r="I28" s="57"/>
      <c r="J28" s="57"/>
      <c r="K28" s="57"/>
      <c r="L28" s="57"/>
    </row>
    <row r="29" spans="1:14" ht="22" customHeight="1" x14ac:dyDescent="0.2">
      <c r="A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1:14" ht="22" customHeight="1" x14ac:dyDescent="0.2">
      <c r="A30" s="57"/>
      <c r="C30" s="57"/>
      <c r="D30" s="57"/>
      <c r="E30" s="57"/>
      <c r="F30" s="57"/>
      <c r="G30" s="57"/>
      <c r="H30" s="57"/>
      <c r="I30" s="57"/>
      <c r="J30" s="57"/>
      <c r="K30" s="57"/>
      <c r="L30" s="57"/>
    </row>
    <row r="31" spans="1:14" ht="22" customHeight="1" x14ac:dyDescent="0.2">
      <c r="A31" s="57"/>
      <c r="C31" s="57"/>
      <c r="D31" s="57"/>
      <c r="E31" s="57"/>
      <c r="F31" s="57"/>
      <c r="G31" s="57"/>
      <c r="H31" s="57"/>
      <c r="I31" s="57"/>
      <c r="J31" s="57"/>
      <c r="K31" s="57"/>
      <c r="L31" s="57"/>
    </row>
    <row r="32" spans="1:14" ht="22" customHeight="1" x14ac:dyDescent="0.2">
      <c r="A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12" ht="22" customHeight="1" x14ac:dyDescent="0.2">
      <c r="A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 ht="22" customHeight="1" x14ac:dyDescent="0.2"/>
    <row r="35" spans="1:12" ht="22" customHeight="1" x14ac:dyDescent="0.2"/>
    <row r="36" spans="1:12" ht="22" customHeight="1" x14ac:dyDescent="0.2"/>
    <row r="37" spans="1:12" ht="22" customHeight="1" x14ac:dyDescent="0.2"/>
    <row r="38" spans="1:12" ht="22" customHeight="1" x14ac:dyDescent="0.2"/>
    <row r="39" spans="1:12" ht="22" customHeight="1" x14ac:dyDescent="0.2"/>
    <row r="40" spans="1:12" ht="22" customHeight="1" x14ac:dyDescent="0.2"/>
    <row r="41" spans="1:12" ht="22" customHeight="1" x14ac:dyDescent="0.2"/>
    <row r="42" spans="1:12" ht="22" customHeight="1" x14ac:dyDescent="0.2"/>
    <row r="43" spans="1:12" ht="22" customHeight="1" x14ac:dyDescent="0.2"/>
    <row r="44" spans="1:12" ht="22" customHeight="1" x14ac:dyDescent="0.2"/>
    <row r="45" spans="1:12" ht="22" customHeight="1" x14ac:dyDescent="0.2"/>
    <row r="46" spans="1:12" ht="22" customHeight="1" x14ac:dyDescent="0.2"/>
    <row r="47" spans="1:12" ht="22" customHeight="1" x14ac:dyDescent="0.2"/>
    <row r="48" spans="1:12" ht="22" customHeight="1" x14ac:dyDescent="0.2"/>
    <row r="49" ht="22" customHeight="1" x14ac:dyDescent="0.2"/>
    <row r="50" ht="22" customHeight="1" x14ac:dyDescent="0.2"/>
    <row r="51" ht="22" customHeight="1" x14ac:dyDescent="0.2"/>
    <row r="52" ht="22" customHeight="1" x14ac:dyDescent="0.2"/>
    <row r="53" ht="22" customHeight="1" x14ac:dyDescent="0.2"/>
    <row r="54" ht="22" customHeight="1" x14ac:dyDescent="0.2"/>
    <row r="55" ht="22" customHeight="1" x14ac:dyDescent="0.2"/>
    <row r="56" ht="22" customHeight="1" x14ac:dyDescent="0.2"/>
    <row r="57" ht="22" customHeight="1" x14ac:dyDescent="0.2"/>
    <row r="58" ht="22" customHeight="1" x14ac:dyDescent="0.2"/>
    <row r="59" ht="22" customHeight="1" x14ac:dyDescent="0.2"/>
    <row r="60" ht="22" customHeight="1" x14ac:dyDescent="0.2"/>
    <row r="61" ht="22" customHeight="1" x14ac:dyDescent="0.2"/>
    <row r="62" ht="22" customHeight="1" x14ac:dyDescent="0.2"/>
    <row r="63" ht="22" customHeight="1" x14ac:dyDescent="0.2"/>
    <row r="64" ht="22" customHeight="1" x14ac:dyDescent="0.2"/>
    <row r="65" ht="22" customHeight="1" x14ac:dyDescent="0.2"/>
    <row r="66" ht="22" customHeight="1" x14ac:dyDescent="0.2"/>
    <row r="67" ht="22" customHeight="1" x14ac:dyDescent="0.2"/>
    <row r="68" ht="22" customHeight="1" x14ac:dyDescent="0.2"/>
    <row r="69" ht="22" customHeight="1" x14ac:dyDescent="0.2"/>
    <row r="70" ht="22" customHeight="1" x14ac:dyDescent="0.2"/>
    <row r="71" ht="22" customHeight="1" x14ac:dyDescent="0.2"/>
    <row r="72" ht="22" customHeight="1" x14ac:dyDescent="0.2"/>
    <row r="73" ht="22" customHeight="1" x14ac:dyDescent="0.2"/>
    <row r="74" ht="22" customHeight="1" x14ac:dyDescent="0.2"/>
    <row r="75" ht="22" customHeight="1" x14ac:dyDescent="0.2"/>
    <row r="76" ht="22" customHeight="1" x14ac:dyDescent="0.2"/>
    <row r="77" ht="22" customHeight="1" x14ac:dyDescent="0.2"/>
    <row r="78" ht="22" customHeight="1" x14ac:dyDescent="0.2"/>
    <row r="79" ht="22" customHeight="1" x14ac:dyDescent="0.2"/>
    <row r="80" ht="22" customHeight="1" x14ac:dyDescent="0.2"/>
    <row r="81" ht="22" customHeight="1" x14ac:dyDescent="0.2"/>
    <row r="82" ht="22" customHeight="1" x14ac:dyDescent="0.2"/>
    <row r="83" ht="22" customHeight="1" x14ac:dyDescent="0.2"/>
    <row r="84" ht="22" customHeight="1" x14ac:dyDescent="0.2"/>
    <row r="85" ht="22" customHeight="1" x14ac:dyDescent="0.2"/>
    <row r="86" ht="22" customHeight="1" x14ac:dyDescent="0.2"/>
    <row r="87" ht="22" customHeight="1" x14ac:dyDescent="0.2"/>
    <row r="88" ht="22" customHeight="1" x14ac:dyDescent="0.2"/>
    <row r="89" ht="22" customHeight="1" x14ac:dyDescent="0.2"/>
    <row r="90" ht="22" customHeight="1" x14ac:dyDescent="0.2"/>
    <row r="91" ht="22" customHeight="1" x14ac:dyDescent="0.2"/>
    <row r="92" ht="22" customHeight="1" x14ac:dyDescent="0.2"/>
    <row r="93" ht="22" customHeight="1" x14ac:dyDescent="0.2"/>
    <row r="94" ht="22" customHeight="1" x14ac:dyDescent="0.2"/>
    <row r="95" ht="22" customHeight="1" x14ac:dyDescent="0.2"/>
    <row r="96" ht="22" customHeight="1" x14ac:dyDescent="0.2"/>
    <row r="97" ht="22" customHeight="1" x14ac:dyDescent="0.2"/>
    <row r="98" ht="22" customHeight="1" x14ac:dyDescent="0.2"/>
    <row r="99" ht="22" customHeight="1" x14ac:dyDescent="0.2"/>
    <row r="100" ht="22" customHeight="1" x14ac:dyDescent="0.2"/>
    <row r="101" ht="22" customHeight="1" x14ac:dyDescent="0.2"/>
    <row r="102" ht="22" customHeight="1" x14ac:dyDescent="0.2"/>
    <row r="103" ht="22" customHeight="1" x14ac:dyDescent="0.2"/>
    <row r="104" ht="22" customHeight="1" x14ac:dyDescent="0.2"/>
    <row r="105" ht="22" customHeight="1" x14ac:dyDescent="0.2"/>
    <row r="106" ht="22" customHeight="1" x14ac:dyDescent="0.2"/>
    <row r="107" ht="22" customHeight="1" x14ac:dyDescent="0.2"/>
    <row r="108" ht="22" customHeight="1" x14ac:dyDescent="0.2"/>
    <row r="109" ht="22" customHeight="1" x14ac:dyDescent="0.2"/>
    <row r="110" ht="22" customHeight="1" x14ac:dyDescent="0.2"/>
    <row r="111" ht="22" customHeight="1" x14ac:dyDescent="0.2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A7A8-4976-994D-9A37-74D5572AD0C3}">
  <dimension ref="A1:D7"/>
  <sheetViews>
    <sheetView workbookViewId="0">
      <selection activeCell="G13" sqref="G13"/>
    </sheetView>
  </sheetViews>
  <sheetFormatPr baseColWidth="10" defaultRowHeight="16" x14ac:dyDescent="0.2"/>
  <cols>
    <col min="2" max="2" width="20.6640625" customWidth="1"/>
    <col min="3" max="4" width="16.83203125" style="93" customWidth="1"/>
  </cols>
  <sheetData>
    <row r="1" spans="1:4" ht="19" x14ac:dyDescent="0.25">
      <c r="A1" s="95" t="s">
        <v>167</v>
      </c>
    </row>
    <row r="3" spans="1:4" ht="50" customHeight="1" x14ac:dyDescent="0.2">
      <c r="A3" s="96" t="s">
        <v>171</v>
      </c>
      <c r="B3" s="97" t="s">
        <v>170</v>
      </c>
      <c r="C3" s="98" t="s">
        <v>172</v>
      </c>
      <c r="D3" s="99" t="s">
        <v>173</v>
      </c>
    </row>
    <row r="4" spans="1:4" ht="50" customHeight="1" x14ac:dyDescent="0.2">
      <c r="A4" s="100" t="s">
        <v>168</v>
      </c>
      <c r="B4" s="101" t="s">
        <v>169</v>
      </c>
      <c r="C4" s="101" t="s">
        <v>176</v>
      </c>
      <c r="D4" s="102" t="s">
        <v>177</v>
      </c>
    </row>
    <row r="5" spans="1:4" ht="50" customHeight="1" x14ac:dyDescent="0.2">
      <c r="A5" s="103" t="s">
        <v>174</v>
      </c>
      <c r="B5" s="104" t="s">
        <v>175</v>
      </c>
      <c r="C5" s="105" t="s">
        <v>178</v>
      </c>
      <c r="D5" s="106" t="s">
        <v>179</v>
      </c>
    </row>
    <row r="6" spans="1:4" ht="50" customHeight="1" x14ac:dyDescent="0.2">
      <c r="A6" s="94"/>
      <c r="B6" s="94"/>
      <c r="C6" s="94"/>
      <c r="D6" s="94"/>
    </row>
    <row r="7" spans="1:4" ht="20" customHeight="1" x14ac:dyDescent="0.2">
      <c r="A7" s="94"/>
      <c r="B7" s="94"/>
      <c r="C7" s="94"/>
      <c r="D7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COMPILATION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2026-01-11T21:12:26Z</dcterms:created>
  <dcterms:modified xsi:type="dcterms:W3CDTF">2026-06-17T21:14:08Z</dcterms:modified>
</cp:coreProperties>
</file>